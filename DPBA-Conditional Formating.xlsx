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khanayesha/Downloads/"/>
    </mc:Choice>
  </mc:AlternateContent>
  <xr:revisionPtr revIDLastSave="0" documentId="13_ncr:1_{A9415548-C8E8-2141-AC56-34E91F43ADDA}" xr6:coauthVersionLast="46" xr6:coauthVersionMax="46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RowFormatting" sheetId="4" r:id="rId2"/>
    <sheet name="CellColumnFormatting " sheetId="2" r:id="rId3"/>
    <sheet name="Sheet3" sheetId="3" r:id="rId4"/>
  </sheets>
  <calcPr calcId="191029"/>
</workbook>
</file>

<file path=xl/calcChain.xml><?xml version="1.0" encoding="utf-8"?>
<calcChain xmlns="http://schemas.openxmlformats.org/spreadsheetml/2006/main">
  <c r="V13" i="4" l="1"/>
  <c r="E45" i="2"/>
  <c r="E34" i="3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<sst xmlns="http://schemas.openxmlformats.org/spreadsheetml/2006/main" count="911" uniqueCount="123">
  <si>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</si>
  <si>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</si>
  <si>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</si>
  <si>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</si>
  <si>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</si>
  <si>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</si>
  <si>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</si>
  <si>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</si>
  <si>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</si>
  <si>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</si>
  <si>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</si>
  <si>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</si>
  <si>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</si>
  <si>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</si>
  <si>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</si>
  <si>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</si>
  <si>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</si>
  <si>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</si>
  <si>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</si>
  <si>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</si>
  <si>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</si>
  <si>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</si>
  <si>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</si>
  <si>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</si>
  <si>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</si>
  <si>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</si>
  <si>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</si>
  <si>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</si>
  <si>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</si>
  <si>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</si>
  <si>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</si>
  <si>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</si>
  <si>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</si>
  <si>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</si>
  <si>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</si>
  <si>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</si>
  <si>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</si>
  <si>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</si>
  <si>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</si>
  <si>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</si>
  <si>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</si>
  <si>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</si>
  <si>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</si>
  <si>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</si>
  <si>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</si>
  <si>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</si>
  <si>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</si>
  <si>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</si>
  <si>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</si>
  <si>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</si>
  <si>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</si>
  <si>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</si>
  <si>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</si>
  <si>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</si>
  <si>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</si>
  <si>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</si>
  <si>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</si>
  <si>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</si>
  <si>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</si>
  <si>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</si>
  <si>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</si>
  <si>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</si>
  <si>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</si>
  <si>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</si>
  <si>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</si>
  <si>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</si>
  <si>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</si>
  <si>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</si>
  <si>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</si>
  <si>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</si>
  <si>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</si>
  <si>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</si>
  <si>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</si>
  <si>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</si>
  <si>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</si>
  <si>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</si>
  <si>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</si>
  <si>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</si>
  <si>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</si>
  <si>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</si>
  <si>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</si>
  <si>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</si>
  <si>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</si>
  <si>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</si>
  <si>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</si>
  <si>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</si>
  <si>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</si>
  <si>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</si>
  <si>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</si>
  <si>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</si>
  <si>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</si>
  <si>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</si>
  <si>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</si>
  <si>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</si>
  <si>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</si>
  <si>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</si>
  <si>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</si>
  <si>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</si>
  <si>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</si>
  <si>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</si>
  <si>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</si>
  <si>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</si>
  <si>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</si>
  <si>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</si>
  <si>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</si>
  <si>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</si>
  <si>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</si>
  <si>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</si>
  <si>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</si>
  <si>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</si>
  <si>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</si>
  <si>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</si>
  <si>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</si>
  <si>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</si>
  <si>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</si>
  <si>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</si>
  <si>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</si>
  <si>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</si>
  <si>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</si>
  <si>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</si>
  <si>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</si>
  <si>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</si>
  <si>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average=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</si>
</sst>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0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Roboto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3" borderId="0" xfId="0" applyFont="1" applyFill="1" applyAlignme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/>
    <xf numFmtId="0" fontId="0" fillId="0" borderId="0" xfId="0" applyFont="1" applyAlignment="1"/>
    <xf numFmtId="0" fontId="6" fillId="0" borderId="0" xfId="0" applyFont="1" applyFill="1" applyBorder="1" applyAlignment="1">
      <alignment horizontal="center"/>
    </xf>
    <xf numFmtId="0" fontId="0" fillId="0" borderId="0" xfId="0" applyNumberFormat="1" applyFont="1" applyAlignment="1"/>
    <xf numFmtId="22" fontId="0" fillId="0" borderId="0" xfId="0" applyNumberFormat="1" applyFont="1" applyAlignmen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84"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65A04C"/>
        </patternFill>
      </fill>
    </dxf>
    <dxf>
      <fill>
        <patternFill>
          <bgColor theme="6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7030A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65A04C"/>
        </patternFill>
      </fill>
    </dxf>
    <dxf>
      <fill>
        <patternFill>
          <bgColor theme="6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4" tint="0.39994506668294322"/>
        </patternFill>
      </fill>
    </dxf>
    <dxf>
      <fill>
        <patternFill>
          <bgColor rgb="FF7030A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65A04C"/>
        </patternFill>
      </fill>
    </dxf>
    <dxf>
      <fill>
        <patternFill>
          <bgColor theme="6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7030A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2AC4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4998626667073579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2AC4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4998626667073579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2AC4"/>
      <color rgb="FF65A0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42</xdr:row>
      <xdr:rowOff>139700</xdr:rowOff>
    </xdr:from>
    <xdr:to>
      <xdr:col>8</xdr:col>
      <xdr:colOff>1524000</xdr:colOff>
      <xdr:row>63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4D65B2-D0C7-4640-A35C-3DB185219E54}"/>
            </a:ext>
          </a:extLst>
        </xdr:cNvPr>
        <xdr:cNvSpPr/>
      </xdr:nvSpPr>
      <xdr:spPr>
        <a:xfrm>
          <a:off x="101600" y="8115300"/>
          <a:ext cx="10121900" cy="33655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tx1"/>
              </a:solidFill>
            </a:rPr>
            <a:t>Task_2 </a:t>
          </a:r>
        </a:p>
        <a:p>
          <a:r>
            <a:rPr lang="en-IN" sz="1100" b="1">
              <a:solidFill>
                <a:schemeClr val="tx1"/>
              </a:solidFill>
            </a:rPr>
            <a:t>(You have to Select the whole dataset )</a:t>
          </a: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1. Highlight entire row where Total_Sales &gt; 400000.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=$H2&gt;400000→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(Orange) → Click OK.</a:t>
          </a:r>
          <a:endParaRPr lang="en-IN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2. Highlight rows where Region = "North".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=$C2="North"→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(Pink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400">
            <a:solidFill>
              <a:schemeClr val="tx1"/>
            </a:solidFill>
            <a:effectLst/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3. Apply formatting to rows where Quantity &lt; 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$F2&lt;3 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Blue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100" b="1">
            <a:solidFill>
              <a:schemeClr val="tx1"/>
            </a:solidFill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4. Highlight rows where Product = "Mobile" AND Quantity &gt; 5.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=AND($E2="Mobile",$F2&gt;5) 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(Grey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100" b="1"/>
        </a:p>
        <a:p>
          <a:pPr algn="l"/>
          <a:endParaRPr lang="en-GB" sz="1100"/>
        </a:p>
      </xdr:txBody>
    </xdr:sp>
    <xdr:clientData/>
  </xdr:twoCellAnchor>
  <xdr:twoCellAnchor>
    <xdr:from>
      <xdr:col>11</xdr:col>
      <xdr:colOff>0</xdr:colOff>
      <xdr:row>42</xdr:row>
      <xdr:rowOff>127000</xdr:rowOff>
    </xdr:from>
    <xdr:to>
      <xdr:col>20</xdr:col>
      <xdr:colOff>88900</xdr:colOff>
      <xdr:row>63</xdr:row>
      <xdr:rowOff>12700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238870-38F1-0847-89DD-2E3A49AAB3A8}"/>
            </a:ext>
          </a:extLst>
        </xdr:cNvPr>
        <xdr:cNvSpPr/>
      </xdr:nvSpPr>
      <xdr:spPr>
        <a:xfrm>
          <a:off x="11645900" y="8102600"/>
          <a:ext cx="8039100" cy="33528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tx1"/>
              </a:solidFill>
            </a:rPr>
            <a:t>5. Highlight entire row if Unit_Price &gt; 50000.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=$G2&gt;50000</a:t>
          </a:r>
          <a:r>
            <a:rPr lang="en-IN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(Dark Orange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400">
            <a:solidFill>
              <a:schemeClr val="tx1"/>
            </a:solidFill>
            <a:effectLst/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6. Apply formatting to rows where Salesperson = "Amit".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=$I2="Amit" 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(Blue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400">
            <a:solidFill>
              <a:schemeClr val="tx1"/>
            </a:solidFill>
            <a:effectLst/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7. Highlight rows where Date is in last 30 days.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=$B2&gt;=TODAY()-30</a:t>
          </a:r>
          <a:r>
            <a:rPr lang="en-IN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(Red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400">
            <a:solidFill>
              <a:schemeClr val="tx1"/>
            </a:solidFill>
            <a:effectLst/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8. Highlight rows where Total_Sales is maximum in dataset.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=$H2=MAX($H$2:$H$40) 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(Dark Yellow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400">
            <a:solidFill>
              <a:schemeClr val="tx1"/>
            </a:solidFill>
            <a:effectLst/>
          </a:endParaRPr>
        </a:p>
        <a:p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9. Apply formatting if Category = "Accessories" AND Total_Sales &lt; 100000.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=AND($D2="Accessories",$H2&lt;100000) 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(Green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400">
            <a:solidFill>
              <a:schemeClr val="tx1"/>
            </a:solidFill>
            <a:effectLst/>
          </a:endParaRPr>
        </a:p>
        <a:p>
          <a:pPr algn="l"/>
          <a:endParaRPr lang="en-GB" sz="1100"/>
        </a:p>
      </xdr:txBody>
    </xdr:sp>
    <xdr:clientData/>
  </xdr:twoCellAnchor>
  <xdr:twoCellAnchor>
    <xdr:from>
      <xdr:col>23</xdr:col>
      <xdr:colOff>88900</xdr:colOff>
      <xdr:row>42</xdr:row>
      <xdr:rowOff>114300</xdr:rowOff>
    </xdr:from>
    <xdr:to>
      <xdr:col>31</xdr:col>
      <xdr:colOff>609600</xdr:colOff>
      <xdr:row>48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AD9C54-670A-AC44-A445-89AA5FD8D73F}"/>
            </a:ext>
          </a:extLst>
        </xdr:cNvPr>
        <xdr:cNvSpPr/>
      </xdr:nvSpPr>
      <xdr:spPr>
        <a:xfrm>
          <a:off x="21704300" y="8089900"/>
          <a:ext cx="7023100" cy="9525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tx1"/>
              </a:solidFill>
            </a:rPr>
            <a:t>10. Highlight rows where Quantity * Unit_Price ≠ Total_Sales.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=($F2*$G2)&lt;&gt;$H2 → Click on Format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(Red Color Fill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tx1"/>
            </a:solidFill>
            <a:effectLst/>
          </a:endParaRPr>
        </a:p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181426</xdr:colOff>
      <xdr:row>2</xdr:row>
      <xdr:rowOff>40317</xdr:rowOff>
    </xdr:from>
    <xdr:to>
      <xdr:col>33</xdr:col>
      <xdr:colOff>725713</xdr:colOff>
      <xdr:row>44</xdr:row>
      <xdr:rowOff>60477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1BC93A-ECE7-9B48-A10C-2D3578C1BFEE}"/>
            </a:ext>
          </a:extLst>
        </xdr:cNvPr>
        <xdr:cNvSpPr/>
      </xdr:nvSpPr>
      <xdr:spPr>
        <a:xfrm>
          <a:off x="13486188" y="403174"/>
          <a:ext cx="18929049" cy="76401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Task_1</a:t>
          </a:r>
        </a:p>
        <a:p>
          <a:endParaRPr lang="en-IN" sz="1400" b="1"/>
        </a:p>
        <a:p>
          <a:r>
            <a:rPr lang="en-IN" sz="1400" b="1"/>
            <a:t>1. Highlight all Total_Sales &gt; 500000 in the Total_Sales column.</a:t>
          </a:r>
        </a:p>
        <a:p>
          <a:r>
            <a:rPr lang="en-IN" sz="1400" b="1"/>
            <a:t>   Select</a:t>
          </a:r>
          <a:r>
            <a:rPr lang="en-IN" sz="1400" b="1" baseline="0"/>
            <a:t> Range H2 to H41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Greater Than → 500000 → Blue Fill</a:t>
          </a:r>
        </a:p>
        <a:p>
          <a:endParaRPr lang="en-IN" sz="1400" b="1"/>
        </a:p>
        <a:p>
          <a:r>
            <a:rPr lang="en-IN" sz="1400" b="1"/>
            <a:t>2. Apply color to Unit_Price &lt; 10000.</a:t>
          </a:r>
        </a:p>
        <a:p>
          <a:r>
            <a:rPr lang="en-IN" sz="1400" b="1"/>
            <a:t>   Select Range G2 to G41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Less Than → 10000 → Red Fill</a:t>
          </a:r>
        </a:p>
        <a:p>
          <a:endParaRPr lang="en-IN" sz="1400" b="1"/>
        </a:p>
        <a:p>
          <a:r>
            <a:rPr lang="en-IN" sz="1400" b="1"/>
            <a:t>3. Highlight cells in Quantity where value is greater than average.</a:t>
          </a:r>
        </a:p>
        <a:p>
          <a:r>
            <a:rPr lang="en-IN" sz="1400" b="1"/>
            <a:t>   Select Range F2 to F41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Formula → Enter the formula 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/>
            <a:t>=$F2&gt;AVERAGE($F$2:$F$40)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(Yellow) → Click OK.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800" b="1"/>
        </a:p>
        <a:p>
          <a:endParaRPr lang="en-IN" sz="1400" b="1"/>
        </a:p>
        <a:p>
          <a:r>
            <a:rPr lang="en-IN" sz="1400" b="1"/>
            <a:t>4. Apply conditional formatting to show duplicate Order_IDs.</a:t>
          </a:r>
        </a:p>
        <a:p>
          <a:r>
            <a:rPr lang="en-IN" sz="1400" b="1"/>
            <a:t>   Select Range A2</a:t>
          </a:r>
          <a:r>
            <a:rPr lang="en-IN" sz="1400" b="1" baseline="0"/>
            <a:t> to A41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Duplicate Values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BLUE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Fill</a:t>
          </a:r>
          <a:endParaRPr lang="en-IN" sz="1800" b="1"/>
        </a:p>
        <a:p>
          <a:endParaRPr lang="en-IN" sz="1400" b="1"/>
        </a:p>
        <a:p>
          <a:r>
            <a:rPr lang="en-IN" sz="1400" b="1"/>
            <a:t>5. Highlight blank cells in the Salesperson column.</a:t>
          </a:r>
        </a:p>
        <a:p>
          <a:r>
            <a:rPr lang="en-IN" sz="1400" b="1"/>
            <a:t>   Select Range I2 to I41</a:t>
          </a:r>
          <a:r>
            <a:rPr lang="en-IN" sz="1400" b="1" baseline="0"/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New Rule → Format only cells that contain → Blanks → Choose Color (Dark Yellow Fill) → OK</a:t>
          </a:r>
        </a:p>
        <a:p>
          <a:endParaRPr lang="en-IN" sz="1400" b="1"/>
        </a:p>
        <a:p>
          <a:r>
            <a:rPr lang="en-IN" sz="1400" b="1"/>
            <a:t>6. Apply formatting if Product contains the word "Laptop".</a:t>
          </a:r>
        </a:p>
        <a:p>
          <a:r>
            <a:rPr lang="en-IN" sz="1400" b="1"/>
            <a:t>   Select Range E2 to E41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 Rule → Use Formula → Enter the formula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=$E2="Laptop</a:t>
          </a:r>
          <a:r>
            <a:rPr lang="en-IN" sz="1800" b="1"/>
            <a:t>"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(Grey)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OK</a:t>
          </a:r>
          <a:endParaRPr lang="en-IN" sz="1400" b="1"/>
        </a:p>
        <a:p>
          <a:endParaRPr lang="en-IN" sz="1400" b="1"/>
        </a:p>
        <a:p>
          <a:r>
            <a:rPr lang="en-IN" sz="1400" b="1"/>
            <a:t>7. Highlight top 10 highest values in Total_Sales.</a:t>
          </a:r>
        </a:p>
        <a:p>
          <a:r>
            <a:rPr lang="en-IN" sz="1400" b="1"/>
            <a:t>  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Top/Bottom Rules → Top 10 Items → Dark Green Fill</a:t>
          </a:r>
        </a:p>
        <a:p>
          <a:endParaRPr lang="en-IN" sz="1400" b="1"/>
        </a:p>
        <a:p>
          <a:r>
            <a:rPr lang="en-IN" sz="1400" b="1"/>
            <a:t>8. Apply color scale (gradient) on Total_Sales.</a:t>
          </a:r>
        </a:p>
        <a:p>
          <a:r>
            <a:rPr lang="en-IN" sz="1400" b="1"/>
            <a:t>  </a:t>
          </a:r>
          <a:r>
            <a:rPr lang="en-IN" sz="1400" b="1" baseline="0"/>
            <a:t> Select Range K2 to K41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Color Scales</a:t>
          </a:r>
        </a:p>
        <a:p>
          <a:endParaRPr lang="en-IN" sz="1400" b="1"/>
        </a:p>
        <a:p>
          <a:r>
            <a:rPr lang="en-IN" sz="1400" b="1"/>
            <a:t>9. Highlight values in Quantity between 5 and 8.</a:t>
          </a:r>
        </a:p>
        <a:p>
          <a:r>
            <a:rPr lang="en-IN" sz="1400" b="1"/>
            <a:t>   Select Range L2 to L41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Between → 5 and 8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Pink Fill </a:t>
          </a:r>
          <a:endParaRPr lang="en-IN" sz="1800" b="1"/>
        </a:p>
        <a:p>
          <a:endParaRPr lang="en-IN" sz="1400" b="1"/>
        </a:p>
        <a:p>
          <a:r>
            <a:rPr lang="en-IN" sz="1400" b="1"/>
            <a:t>10. Highlight cells where Category = "Electronics".</a:t>
          </a:r>
        </a:p>
        <a:p>
          <a:r>
            <a:rPr lang="en-IN" sz="1400" b="1"/>
            <a:t>    Select Range D2 to D41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Equal To → Electronics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Green Fill </a:t>
          </a:r>
          <a:endParaRPr lang="en-IN" sz="1400" b="1"/>
        </a:p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zoomScale="127" zoomScaleNormal="115" workbookViewId="0">
      <selection activeCell="J17" sqref="J17"/>
    </sheetView>
  </sheetViews>
  <sheetFormatPr baseColWidth="10" defaultColWidth="12.5" defaultRowHeight="15.75" customHeight="1" x14ac:dyDescent="0.15"/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9" t="s">
        <v>0</v>
      </c>
      <c r="K1" s="29" t="s">
        <v>1</v>
      </c>
      <c r="L1" s="29" t="s">
        <v>2</v>
      </c>
      <c r="M1" s="29" t="s">
        <v>3</v>
      </c>
    </row>
    <row r="2" spans="1:13" ht="15.75" customHeight="1" x14ac:dyDescent="0.2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8" t="s">
        <v>4</v>
      </c>
      <c r="K2" s="28" t="s">
        <v>5</v>
      </c>
      <c r="L2" s="30">
        <v>45292</v>
      </c>
      <c r="M2" s="28">
        <v>120</v>
      </c>
    </row>
    <row r="3" spans="1:13" ht="15" x14ac:dyDescent="0.2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8" t="s">
        <v>6</v>
      </c>
      <c r="K3" s="28" t="s">
        <v>7</v>
      </c>
      <c r="L3" s="30">
        <v>45323</v>
      </c>
      <c r="M3" s="28">
        <v>150</v>
      </c>
    </row>
    <row r="4" spans="1:13" ht="15" x14ac:dyDescent="0.2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8" t="s">
        <v>4</v>
      </c>
      <c r="K4" s="28" t="s">
        <v>8</v>
      </c>
      <c r="L4" s="30">
        <v>45352</v>
      </c>
      <c r="M4" s="28">
        <v>200</v>
      </c>
    </row>
    <row r="5" spans="1:13" ht="15" x14ac:dyDescent="0.2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8" t="s">
        <v>9</v>
      </c>
      <c r="K5" s="28" t="s">
        <v>10</v>
      </c>
      <c r="L5" s="30">
        <v>45383</v>
      </c>
      <c r="M5" s="28">
        <v>90</v>
      </c>
    </row>
    <row r="6" spans="1:13" ht="15" x14ac:dyDescent="0.2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8" t="s">
        <v>6</v>
      </c>
      <c r="K6" s="28" t="s">
        <v>5</v>
      </c>
      <c r="L6" s="30">
        <v>45413</v>
      </c>
      <c r="M6" s="28">
        <v>220</v>
      </c>
    </row>
    <row r="7" spans="1:13" ht="15" x14ac:dyDescent="0.2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8" t="s">
        <v>4</v>
      </c>
      <c r="K7" s="28" t="s">
        <v>7</v>
      </c>
      <c r="L7" s="30">
        <v>45444</v>
      </c>
      <c r="M7" s="28">
        <v>130</v>
      </c>
    </row>
    <row r="8" spans="1:13" ht="15" x14ac:dyDescent="0.2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8" t="s">
        <v>9</v>
      </c>
      <c r="K8" s="28" t="s">
        <v>5</v>
      </c>
      <c r="L8" s="30">
        <v>45474</v>
      </c>
      <c r="M8" s="28">
        <v>300</v>
      </c>
    </row>
    <row r="9" spans="1:13" ht="15" x14ac:dyDescent="0.2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8" t="s">
        <v>6</v>
      </c>
      <c r="K9" s="28" t="s">
        <v>8</v>
      </c>
      <c r="L9" s="30">
        <v>45505</v>
      </c>
      <c r="M9" s="28">
        <v>80</v>
      </c>
    </row>
    <row r="10" spans="1:13" ht="15" x14ac:dyDescent="0.2">
      <c r="A10" s="5"/>
      <c r="B10" s="5"/>
      <c r="C10" s="5"/>
      <c r="D10" s="5"/>
      <c r="E10" s="2"/>
      <c r="F10" s="2"/>
      <c r="G10" s="2"/>
      <c r="H10" s="2"/>
      <c r="I10" s="2"/>
    </row>
    <row r="11" spans="1:13" ht="15" x14ac:dyDescent="0.2">
      <c r="A11" s="6"/>
      <c r="B11" s="2"/>
      <c r="C11" s="2"/>
      <c r="D11" s="2"/>
      <c r="E11" s="2"/>
      <c r="F11" s="2"/>
      <c r="G11" s="2"/>
      <c r="H11" s="2"/>
      <c r="I11" s="2"/>
    </row>
    <row r="12" spans="1:13" ht="15" x14ac:dyDescent="0.2">
      <c r="A12" s="2"/>
      <c r="B12" s="2"/>
      <c r="C12" s="2"/>
      <c r="D12" s="2"/>
      <c r="E12" s="2"/>
      <c r="F12" s="2"/>
      <c r="G12" s="2"/>
      <c r="H12" s="2"/>
      <c r="I12" s="2"/>
      <c r="J12" s="7"/>
    </row>
    <row r="13" spans="1:13" ht="15" x14ac:dyDescent="0.2">
      <c r="A13" s="32" t="s">
        <v>11</v>
      </c>
      <c r="B13" s="33"/>
      <c r="C13" s="33"/>
      <c r="D13" s="33"/>
      <c r="E13" s="33"/>
      <c r="F13" s="33"/>
      <c r="G13" s="33"/>
      <c r="H13" s="33"/>
      <c r="I13" s="33"/>
      <c r="J13" s="2"/>
    </row>
    <row r="14" spans="1:13" ht="15" x14ac:dyDescent="0.2">
      <c r="A14" s="32" t="s">
        <v>12</v>
      </c>
      <c r="B14" s="33"/>
      <c r="C14" s="33"/>
      <c r="D14" s="33"/>
      <c r="E14" s="33"/>
      <c r="F14" s="33"/>
      <c r="G14" s="33"/>
      <c r="H14" s="33"/>
      <c r="I14" s="2"/>
      <c r="J14" s="2"/>
    </row>
    <row r="15" spans="1:13" ht="15" x14ac:dyDescent="0.2">
      <c r="A15" s="32" t="s">
        <v>13</v>
      </c>
      <c r="B15" s="33"/>
      <c r="C15" s="33"/>
      <c r="D15" s="33"/>
      <c r="E15" s="33"/>
      <c r="F15" s="33"/>
      <c r="G15" s="33"/>
      <c r="H15" s="33"/>
      <c r="I15" s="2"/>
      <c r="J15" s="2"/>
    </row>
    <row r="16" spans="1:13" ht="15" x14ac:dyDescent="0.2">
      <c r="A16" s="32" t="s">
        <v>14</v>
      </c>
      <c r="B16" s="33"/>
      <c r="C16" s="33"/>
      <c r="D16" s="33"/>
      <c r="E16" s="33"/>
      <c r="F16" s="33"/>
      <c r="G16" s="2"/>
      <c r="H16" s="2"/>
      <c r="I16" s="2"/>
      <c r="J16" s="2"/>
    </row>
    <row r="17" spans="1:10" ht="15" x14ac:dyDescent="0.2">
      <c r="A17" s="32" t="s">
        <v>15</v>
      </c>
      <c r="B17" s="33"/>
      <c r="C17" s="33"/>
      <c r="D17" s="33"/>
      <c r="E17" s="33"/>
      <c r="F17" s="33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2:D9">
    <cfRule type="expression" dxfId="83" priority="29">
      <formula>$A2="Product A"</formula>
    </cfRule>
    <cfRule type="colorScale" priority="33">
      <colorScale>
        <cfvo type="min"/>
        <cfvo type="max"/>
        <color rgb="FFFFFFFF"/>
        <color rgb="FFFFFFFF"/>
      </colorScale>
    </cfRule>
  </conditionalFormatting>
  <conditionalFormatting sqref="A1">
    <cfRule type="cellIs" dxfId="82" priority="32" operator="greaterThan">
      <formula>149</formula>
    </cfRule>
  </conditionalFormatting>
  <conditionalFormatting sqref="D2:D9">
    <cfRule type="expression" dxfId="81" priority="17">
      <formula>" =AND($A2=""Product B"",$B2=""North"")"</formula>
    </cfRule>
    <cfRule type="expression" dxfId="80" priority="18">
      <formula>" =AND($A2=""Product B"",$B2=""North"")"</formula>
    </cfRule>
    <cfRule type="expression" dxfId="79" priority="19">
      <formula>" =AND($A2=""Product B"",$B2=""North"")"</formula>
    </cfRule>
    <cfRule type="expression" dxfId="78" priority="20">
      <formula>" =AND($A2=""Product B"",$B2=""North"")"</formula>
    </cfRule>
    <cfRule type="expression" dxfId="77" priority="21">
      <formula>" =AND($A2=""Product B"",$B2=""North"")"</formula>
    </cfRule>
    <cfRule type="expression" dxfId="76" priority="23">
      <formula>" =AND($A2=""Product B"",$B2=""North"")"</formula>
    </cfRule>
    <cfRule type="expression" dxfId="75" priority="24">
      <formula>" =AND($A2=""Product B"",$B2=""North"")"</formula>
    </cfRule>
    <cfRule type="expression" dxfId="74" priority="25">
      <formula>" =AND($A2=""Product B"",$B2=""North"")"</formula>
    </cfRule>
    <cfRule type="top10" dxfId="73" priority="26" rank="3"/>
    <cfRule type="cellIs" dxfId="72" priority="31" operator="greaterThan">
      <formula>149</formula>
    </cfRule>
  </conditionalFormatting>
  <conditionalFormatting sqref="C2:C9">
    <cfRule type="expression" dxfId="71" priority="27">
      <formula>AND(C2&gt;=DATE(2024,1,1),C2&lt;=DATE(2024,1,31))</formula>
    </cfRule>
    <cfRule type="expression" dxfId="70" priority="28">
      <formula>AND(C2&gt;=DATE(2024,1,1),C2&lt;=DATE(2024,1,31))</formula>
    </cfRule>
  </conditionalFormatting>
  <conditionalFormatting sqref="A2:B9">
    <cfRule type="expression" dxfId="69" priority="22">
      <formula>" =AND($A2=""Product B"",$B2=""North"")"</formula>
    </cfRule>
  </conditionalFormatting>
  <conditionalFormatting sqref="J2:M9">
    <cfRule type="expression" dxfId="68" priority="13">
      <formula>$A4="Product A"</formula>
    </cfRule>
    <cfRule type="colorScale" priority="16">
      <colorScale>
        <cfvo type="min"/>
        <cfvo type="max"/>
        <color rgb="FFFFFFFF"/>
        <color rgb="FFFFFFFF"/>
      </colorScale>
    </cfRule>
  </conditionalFormatting>
  <conditionalFormatting sqref="J1">
    <cfRule type="cellIs" dxfId="67" priority="15" operator="greaterThan">
      <formula>149</formula>
    </cfRule>
  </conditionalFormatting>
  <conditionalFormatting sqref="M2:M9">
    <cfRule type="expression" dxfId="66" priority="1">
      <formula>" =AND($A2=""Product B"",$B2=""North"")"</formula>
    </cfRule>
    <cfRule type="expression" dxfId="65" priority="2">
      <formula>" =AND($A2=""Product B"",$B2=""North"")"</formula>
    </cfRule>
    <cfRule type="expression" dxfId="64" priority="3">
      <formula>" =AND($A2=""Product B"",$B2=""North"")"</formula>
    </cfRule>
    <cfRule type="expression" dxfId="63" priority="4">
      <formula>" =AND($A2=""Product B"",$B2=""North"")"</formula>
    </cfRule>
    <cfRule type="expression" dxfId="62" priority="5">
      <formula>" =AND($A2=""Product B"",$B2=""North"")"</formula>
    </cfRule>
    <cfRule type="expression" dxfId="61" priority="7">
      <formula>" =AND($A2=""Product B"",$B2=""North"")"</formula>
    </cfRule>
    <cfRule type="expression" dxfId="60" priority="8">
      <formula>" =AND($A2=""Product B"",$B2=""North"")"</formula>
    </cfRule>
    <cfRule type="expression" dxfId="59" priority="9">
      <formula>" =AND($A2=""Product B"",$B2=""North"")"</formula>
    </cfRule>
    <cfRule type="top10" dxfId="58" priority="10" rank="3"/>
    <cfRule type="cellIs" dxfId="57" priority="14" operator="greaterThan">
      <formula>149</formula>
    </cfRule>
  </conditionalFormatting>
  <conditionalFormatting sqref="L2:L9">
    <cfRule type="expression" dxfId="56" priority="11">
      <formula>AND(L2&gt;=DATE(2024,1,1),L2&lt;=DATE(2024,1,31))</formula>
    </cfRule>
    <cfRule type="expression" dxfId="55" priority="12">
      <formula>AND(L2&gt;=DATE(2024,1,1),L2&lt;=DATE(2024,1,31))</formula>
    </cfRule>
  </conditionalFormatting>
  <conditionalFormatting sqref="J2:K9">
    <cfRule type="expression" dxfId="54" priority="6">
      <formula>" =AND($A2=""Product B"",$B2=""North"")"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2"/>
  <sheetViews>
    <sheetView tabSelected="1" topLeftCell="A13" zoomScaleNormal="100" workbookViewId="0">
      <selection activeCell="AA64" sqref="AA64"/>
    </sheetView>
  </sheetViews>
  <sheetFormatPr baseColWidth="10" defaultColWidth="8.83203125" defaultRowHeight="13" x14ac:dyDescent="0.15"/>
  <cols>
    <col min="1" max="1" width="18.33203125" customWidth="1"/>
    <col min="2" max="2" width="17.6640625" bestFit="1" customWidth="1"/>
    <col min="3" max="3" width="11.5" customWidth="1"/>
    <col min="4" max="4" width="13.83203125" customWidth="1"/>
    <col min="5" max="5" width="19.6640625" customWidth="1"/>
    <col min="7" max="7" width="12.6640625" customWidth="1"/>
    <col min="8" max="8" width="11.6640625" customWidth="1"/>
    <col min="9" max="9" width="21" customWidth="1"/>
    <col min="12" max="12" width="10.6640625" customWidth="1"/>
    <col min="13" max="13" width="18.5" customWidth="1"/>
    <col min="14" max="15" width="12.5" customWidth="1"/>
    <col min="16" max="16" width="14.83203125" customWidth="1"/>
    <col min="25" max="25" width="18" bestFit="1" customWidth="1"/>
    <col min="27" max="27" width="14.33203125" customWidth="1"/>
  </cols>
  <sheetData>
    <row r="1" spans="1:32" ht="15" x14ac:dyDescent="0.2">
      <c r="A1" s="8" t="s">
        <v>16</v>
      </c>
      <c r="B1" s="8" t="s">
        <v>2</v>
      </c>
      <c r="C1" s="8" t="s">
        <v>1</v>
      </c>
      <c r="D1" s="8" t="s">
        <v>17</v>
      </c>
      <c r="E1" s="8" t="s">
        <v>0</v>
      </c>
      <c r="F1" s="8" t="s">
        <v>18</v>
      </c>
      <c r="G1" s="8" t="s">
        <v>19</v>
      </c>
      <c r="H1" s="8" t="s">
        <v>20</v>
      </c>
      <c r="I1" s="8" t="s">
        <v>21</v>
      </c>
      <c r="L1" s="8" t="s">
        <v>16</v>
      </c>
      <c r="M1" s="8" t="s">
        <v>2</v>
      </c>
      <c r="N1" s="8" t="s">
        <v>1</v>
      </c>
      <c r="O1" s="8" t="s">
        <v>17</v>
      </c>
      <c r="P1" s="8" t="s">
        <v>0</v>
      </c>
      <c r="Q1" s="8" t="s">
        <v>18</v>
      </c>
      <c r="R1" s="8" t="s">
        <v>19</v>
      </c>
      <c r="S1" s="8" t="s">
        <v>20</v>
      </c>
      <c r="T1" s="8" t="s">
        <v>21</v>
      </c>
      <c r="X1" s="8" t="s">
        <v>16</v>
      </c>
      <c r="Y1" s="8" t="s">
        <v>2</v>
      </c>
      <c r="Z1" s="8" t="s">
        <v>1</v>
      </c>
      <c r="AA1" s="8" t="s">
        <v>17</v>
      </c>
      <c r="AB1" s="8" t="s">
        <v>0</v>
      </c>
      <c r="AC1" s="8" t="s">
        <v>18</v>
      </c>
      <c r="AD1" s="8" t="s">
        <v>19</v>
      </c>
      <c r="AE1" s="8" t="s">
        <v>20</v>
      </c>
      <c r="AF1" s="8" t="s">
        <v>21</v>
      </c>
    </row>
    <row r="2" spans="1:32" ht="15" x14ac:dyDescent="0.2">
      <c r="A2" s="9" t="s">
        <v>22</v>
      </c>
      <c r="B2" s="10">
        <v>46147.428668981483</v>
      </c>
      <c r="C2" s="9" t="s">
        <v>8</v>
      </c>
      <c r="D2" s="9" t="s">
        <v>23</v>
      </c>
      <c r="E2" s="9" t="s">
        <v>24</v>
      </c>
      <c r="F2" s="9">
        <v>5</v>
      </c>
      <c r="G2" s="9">
        <v>8000</v>
      </c>
      <c r="H2" s="9">
        <v>40000</v>
      </c>
      <c r="I2" s="9" t="s">
        <v>25</v>
      </c>
      <c r="L2" s="9" t="s">
        <v>22</v>
      </c>
      <c r="M2" s="10">
        <v>46147.428668981483</v>
      </c>
      <c r="N2" s="9" t="s">
        <v>8</v>
      </c>
      <c r="O2" s="9" t="s">
        <v>23</v>
      </c>
      <c r="P2" s="9" t="s">
        <v>24</v>
      </c>
      <c r="Q2" s="9">
        <v>5</v>
      </c>
      <c r="R2" s="9">
        <v>8000</v>
      </c>
      <c r="S2" s="9">
        <v>40000</v>
      </c>
      <c r="T2" s="9" t="s">
        <v>25</v>
      </c>
      <c r="X2" s="9" t="s">
        <v>22</v>
      </c>
      <c r="Y2" s="10">
        <v>46147.428668981483</v>
      </c>
      <c r="Z2" s="9" t="s">
        <v>8</v>
      </c>
      <c r="AA2" s="9" t="s">
        <v>23</v>
      </c>
      <c r="AB2" s="9" t="s">
        <v>24</v>
      </c>
      <c r="AC2" s="9">
        <v>5</v>
      </c>
      <c r="AD2" s="9">
        <v>8000</v>
      </c>
      <c r="AE2" s="9">
        <v>40000</v>
      </c>
      <c r="AF2" s="9" t="s">
        <v>25</v>
      </c>
    </row>
    <row r="3" spans="1:32" ht="15" x14ac:dyDescent="0.2">
      <c r="A3" s="9" t="s">
        <v>26</v>
      </c>
      <c r="B3" s="10">
        <v>46102.428668981483</v>
      </c>
      <c r="C3" s="9" t="s">
        <v>8</v>
      </c>
      <c r="D3" s="9" t="s">
        <v>27</v>
      </c>
      <c r="E3" s="9" t="s">
        <v>28</v>
      </c>
      <c r="F3" s="9">
        <v>5</v>
      </c>
      <c r="G3" s="9">
        <v>75000</v>
      </c>
      <c r="H3" s="9">
        <v>375000</v>
      </c>
      <c r="I3" s="9" t="s">
        <v>29</v>
      </c>
      <c r="L3" s="9" t="s">
        <v>26</v>
      </c>
      <c r="M3" s="10">
        <v>46102.428668981483</v>
      </c>
      <c r="N3" s="9" t="s">
        <v>8</v>
      </c>
      <c r="O3" s="9" t="s">
        <v>27</v>
      </c>
      <c r="P3" s="9" t="s">
        <v>28</v>
      </c>
      <c r="Q3" s="9">
        <v>5</v>
      </c>
      <c r="R3" s="9">
        <v>75000</v>
      </c>
      <c r="S3" s="9">
        <v>375000</v>
      </c>
      <c r="T3" s="9" t="s">
        <v>29</v>
      </c>
      <c r="X3" s="9" t="s">
        <v>26</v>
      </c>
      <c r="Y3" s="10">
        <v>46102.428668981483</v>
      </c>
      <c r="Z3" s="9" t="s">
        <v>8</v>
      </c>
      <c r="AA3" s="9" t="s">
        <v>27</v>
      </c>
      <c r="AB3" s="9" t="s">
        <v>28</v>
      </c>
      <c r="AC3" s="9">
        <v>5</v>
      </c>
      <c r="AD3" s="9">
        <v>75000</v>
      </c>
      <c r="AE3" s="9">
        <v>375000</v>
      </c>
      <c r="AF3" s="9" t="s">
        <v>29</v>
      </c>
    </row>
    <row r="4" spans="1:32" ht="15" x14ac:dyDescent="0.2">
      <c r="A4" s="9" t="s">
        <v>30</v>
      </c>
      <c r="B4" s="10">
        <v>46147.428668981483</v>
      </c>
      <c r="C4" s="9" t="s">
        <v>8</v>
      </c>
      <c r="D4" s="9" t="s">
        <v>31</v>
      </c>
      <c r="E4" s="9" t="s">
        <v>32</v>
      </c>
      <c r="F4" s="9">
        <v>3</v>
      </c>
      <c r="G4" s="9">
        <v>8000</v>
      </c>
      <c r="H4" s="9">
        <v>24000</v>
      </c>
      <c r="I4" s="9"/>
      <c r="L4" s="9" t="s">
        <v>30</v>
      </c>
      <c r="M4" s="10">
        <v>46147.428668981483</v>
      </c>
      <c r="N4" s="9" t="s">
        <v>8</v>
      </c>
      <c r="O4" s="9" t="s">
        <v>31</v>
      </c>
      <c r="P4" s="9" t="s">
        <v>32</v>
      </c>
      <c r="Q4" s="9">
        <v>3</v>
      </c>
      <c r="R4" s="9">
        <v>8000</v>
      </c>
      <c r="S4" s="9">
        <v>24000</v>
      </c>
      <c r="T4" s="9"/>
      <c r="X4" s="9" t="s">
        <v>30</v>
      </c>
      <c r="Y4" s="10">
        <v>46147.428668981483</v>
      </c>
      <c r="Z4" s="9" t="s">
        <v>8</v>
      </c>
      <c r="AA4" s="9" t="s">
        <v>31</v>
      </c>
      <c r="AB4" s="9" t="s">
        <v>32</v>
      </c>
      <c r="AC4" s="9">
        <v>3</v>
      </c>
      <c r="AD4" s="9">
        <v>8000</v>
      </c>
      <c r="AE4" s="9">
        <v>9999</v>
      </c>
      <c r="AF4" s="9"/>
    </row>
    <row r="5" spans="1:32" ht="15" x14ac:dyDescent="0.2">
      <c r="A5" s="9" t="s">
        <v>33</v>
      </c>
      <c r="B5" s="10">
        <v>46103.428668981483</v>
      </c>
      <c r="C5" s="9" t="s">
        <v>5</v>
      </c>
      <c r="D5" s="9" t="s">
        <v>23</v>
      </c>
      <c r="E5" s="9" t="s">
        <v>34</v>
      </c>
      <c r="F5" s="9">
        <v>8</v>
      </c>
      <c r="G5" s="9">
        <v>25000</v>
      </c>
      <c r="H5" s="9">
        <v>200000</v>
      </c>
      <c r="I5" s="9"/>
      <c r="L5" s="9" t="s">
        <v>33</v>
      </c>
      <c r="M5" s="10">
        <v>46103.428668981483</v>
      </c>
      <c r="N5" s="9" t="s">
        <v>5</v>
      </c>
      <c r="O5" s="9" t="s">
        <v>23</v>
      </c>
      <c r="P5" s="9" t="s">
        <v>34</v>
      </c>
      <c r="Q5" s="9">
        <v>8</v>
      </c>
      <c r="R5" s="9">
        <v>25000</v>
      </c>
      <c r="S5" s="9">
        <v>200000</v>
      </c>
      <c r="T5" s="9"/>
      <c r="X5" s="9" t="s">
        <v>33</v>
      </c>
      <c r="Y5" s="10">
        <v>46103.428668981483</v>
      </c>
      <c r="Z5" s="9" t="s">
        <v>5</v>
      </c>
      <c r="AA5" s="9" t="s">
        <v>23</v>
      </c>
      <c r="AB5" s="9" t="s">
        <v>34</v>
      </c>
      <c r="AC5" s="9">
        <v>8</v>
      </c>
      <c r="AD5" s="9">
        <v>25000</v>
      </c>
      <c r="AE5" s="9">
        <v>200000</v>
      </c>
      <c r="AF5" s="9"/>
    </row>
    <row r="6" spans="1:32" ht="15" x14ac:dyDescent="0.2">
      <c r="A6" s="9" t="s">
        <v>35</v>
      </c>
      <c r="B6" s="10">
        <v>46134.428668981483</v>
      </c>
      <c r="C6" s="9" t="s">
        <v>7</v>
      </c>
      <c r="D6" s="9" t="s">
        <v>23</v>
      </c>
      <c r="E6" s="9" t="s">
        <v>34</v>
      </c>
      <c r="F6" s="9">
        <v>6</v>
      </c>
      <c r="G6" s="9">
        <v>75000</v>
      </c>
      <c r="H6" s="9">
        <v>450000</v>
      </c>
      <c r="I6" s="9" t="s">
        <v>25</v>
      </c>
      <c r="L6" s="9" t="s">
        <v>35</v>
      </c>
      <c r="M6" s="10">
        <v>46134.428668981483</v>
      </c>
      <c r="N6" s="9" t="s">
        <v>7</v>
      </c>
      <c r="O6" s="9" t="s">
        <v>23</v>
      </c>
      <c r="P6" s="9" t="s">
        <v>34</v>
      </c>
      <c r="Q6" s="9">
        <v>6</v>
      </c>
      <c r="R6" s="9">
        <v>75000</v>
      </c>
      <c r="S6" s="9">
        <v>450000</v>
      </c>
      <c r="T6" s="9" t="s">
        <v>25</v>
      </c>
      <c r="X6" s="9" t="s">
        <v>35</v>
      </c>
      <c r="Y6" s="10">
        <v>46134.428668981483</v>
      </c>
      <c r="Z6" s="9" t="s">
        <v>7</v>
      </c>
      <c r="AA6" s="9" t="s">
        <v>23</v>
      </c>
      <c r="AB6" s="9" t="s">
        <v>34</v>
      </c>
      <c r="AC6" s="9">
        <v>6</v>
      </c>
      <c r="AD6" s="9">
        <v>75000</v>
      </c>
      <c r="AE6" s="9">
        <v>450000</v>
      </c>
      <c r="AF6" s="9" t="s">
        <v>25</v>
      </c>
    </row>
    <row r="7" spans="1:32" ht="15" x14ac:dyDescent="0.2">
      <c r="A7" s="9" t="s">
        <v>36</v>
      </c>
      <c r="B7" s="10">
        <v>46109.428668981483</v>
      </c>
      <c r="C7" s="9" t="s">
        <v>7</v>
      </c>
      <c r="D7" s="9" t="s">
        <v>27</v>
      </c>
      <c r="E7" s="9" t="s">
        <v>37</v>
      </c>
      <c r="F7" s="9">
        <v>10</v>
      </c>
      <c r="G7" s="9">
        <v>25000</v>
      </c>
      <c r="H7" s="9">
        <v>250000</v>
      </c>
      <c r="I7" s="9" t="s">
        <v>38</v>
      </c>
      <c r="L7" s="9" t="s">
        <v>36</v>
      </c>
      <c r="M7" s="10">
        <v>46109.428668981483</v>
      </c>
      <c r="N7" s="9" t="s">
        <v>7</v>
      </c>
      <c r="O7" s="9" t="s">
        <v>27</v>
      </c>
      <c r="P7" s="9" t="s">
        <v>37</v>
      </c>
      <c r="Q7" s="9">
        <v>10</v>
      </c>
      <c r="R7" s="9">
        <v>25000</v>
      </c>
      <c r="S7" s="9">
        <v>250000</v>
      </c>
      <c r="T7" s="9" t="s">
        <v>38</v>
      </c>
      <c r="X7" s="9" t="s">
        <v>36</v>
      </c>
      <c r="Y7" s="10">
        <v>46109.428668981483</v>
      </c>
      <c r="Z7" s="9" t="s">
        <v>7</v>
      </c>
      <c r="AA7" s="9" t="s">
        <v>27</v>
      </c>
      <c r="AB7" s="9" t="s">
        <v>37</v>
      </c>
      <c r="AC7" s="9">
        <v>10</v>
      </c>
      <c r="AD7" s="9">
        <v>25000</v>
      </c>
      <c r="AE7" s="9">
        <v>250000</v>
      </c>
      <c r="AF7" s="9" t="s">
        <v>38</v>
      </c>
    </row>
    <row r="8" spans="1:32" ht="15" x14ac:dyDescent="0.2">
      <c r="A8" s="9" t="s">
        <v>39</v>
      </c>
      <c r="B8" s="10">
        <v>46122.428668981483</v>
      </c>
      <c r="C8" s="9" t="s">
        <v>8</v>
      </c>
      <c r="D8" s="9" t="s">
        <v>27</v>
      </c>
      <c r="E8" s="9" t="s">
        <v>28</v>
      </c>
      <c r="F8" s="9">
        <v>2</v>
      </c>
      <c r="G8" s="9">
        <v>12000</v>
      </c>
      <c r="H8" s="9">
        <v>24000</v>
      </c>
      <c r="I8" s="9" t="s">
        <v>25</v>
      </c>
      <c r="L8" s="9" t="s">
        <v>39</v>
      </c>
      <c r="M8" s="10">
        <v>46122.428668981483</v>
      </c>
      <c r="N8" s="9" t="s">
        <v>8</v>
      </c>
      <c r="O8" s="9" t="s">
        <v>27</v>
      </c>
      <c r="P8" s="9" t="s">
        <v>28</v>
      </c>
      <c r="Q8" s="9">
        <v>2</v>
      </c>
      <c r="R8" s="9">
        <v>12000</v>
      </c>
      <c r="S8" s="9">
        <v>24000</v>
      </c>
      <c r="T8" s="9" t="s">
        <v>25</v>
      </c>
      <c r="X8" s="9" t="s">
        <v>39</v>
      </c>
      <c r="Y8" s="10">
        <v>46122.428668981483</v>
      </c>
      <c r="Z8" s="9" t="s">
        <v>8</v>
      </c>
      <c r="AA8" s="9" t="s">
        <v>27</v>
      </c>
      <c r="AB8" s="9" t="s">
        <v>28</v>
      </c>
      <c r="AC8" s="9">
        <v>2</v>
      </c>
      <c r="AD8" s="9">
        <v>12000</v>
      </c>
      <c r="AE8" s="9">
        <v>24000</v>
      </c>
      <c r="AF8" s="9" t="s">
        <v>25</v>
      </c>
    </row>
    <row r="9" spans="1:32" ht="15" x14ac:dyDescent="0.2">
      <c r="A9" s="9" t="s">
        <v>39</v>
      </c>
      <c r="B9" s="10">
        <v>46095.428668981483</v>
      </c>
      <c r="C9" s="9" t="s">
        <v>7</v>
      </c>
      <c r="D9" s="9" t="s">
        <v>31</v>
      </c>
      <c r="E9" s="9" t="s">
        <v>40</v>
      </c>
      <c r="F9" s="9">
        <v>5</v>
      </c>
      <c r="G9" s="9">
        <v>8000</v>
      </c>
      <c r="H9" s="9">
        <v>40000</v>
      </c>
      <c r="I9" s="9" t="s">
        <v>38</v>
      </c>
      <c r="L9" s="9" t="s">
        <v>39</v>
      </c>
      <c r="M9" s="10">
        <v>46095.428668981483</v>
      </c>
      <c r="N9" s="9" t="s">
        <v>7</v>
      </c>
      <c r="O9" s="9" t="s">
        <v>31</v>
      </c>
      <c r="P9" s="9" t="s">
        <v>40</v>
      </c>
      <c r="Q9" s="9">
        <v>5</v>
      </c>
      <c r="R9" s="9">
        <v>8000</v>
      </c>
      <c r="S9" s="9">
        <v>40000</v>
      </c>
      <c r="T9" s="9" t="s">
        <v>38</v>
      </c>
      <c r="X9" s="9" t="s">
        <v>39</v>
      </c>
      <c r="Y9" s="10">
        <v>46095.428668981483</v>
      </c>
      <c r="Z9" s="9" t="s">
        <v>7</v>
      </c>
      <c r="AA9" s="9" t="s">
        <v>31</v>
      </c>
      <c r="AB9" s="9" t="s">
        <v>40</v>
      </c>
      <c r="AC9" s="9">
        <v>5</v>
      </c>
      <c r="AD9" s="9">
        <v>8000</v>
      </c>
      <c r="AE9" s="9">
        <v>40000</v>
      </c>
      <c r="AF9" s="9" t="s">
        <v>38</v>
      </c>
    </row>
    <row r="10" spans="1:32" ht="15" x14ac:dyDescent="0.2">
      <c r="A10" s="9" t="s">
        <v>41</v>
      </c>
      <c r="B10" s="10">
        <v>46106.428668981483</v>
      </c>
      <c r="C10" s="9" t="s">
        <v>10</v>
      </c>
      <c r="D10" s="9" t="s">
        <v>27</v>
      </c>
      <c r="E10" s="9" t="s">
        <v>40</v>
      </c>
      <c r="F10" s="9">
        <v>10</v>
      </c>
      <c r="G10" s="9">
        <v>25000</v>
      </c>
      <c r="H10" s="9">
        <v>250000</v>
      </c>
      <c r="I10" s="9" t="s">
        <v>42</v>
      </c>
      <c r="L10" s="9" t="s">
        <v>41</v>
      </c>
      <c r="M10" s="10">
        <v>46106.428668981483</v>
      </c>
      <c r="N10" s="9" t="s">
        <v>10</v>
      </c>
      <c r="O10" s="9" t="s">
        <v>27</v>
      </c>
      <c r="P10" s="9" t="s">
        <v>40</v>
      </c>
      <c r="Q10" s="9">
        <v>10</v>
      </c>
      <c r="R10" s="9">
        <v>25000</v>
      </c>
      <c r="S10" s="9">
        <v>250000</v>
      </c>
      <c r="T10" s="9" t="s">
        <v>42</v>
      </c>
      <c r="X10" s="9" t="s">
        <v>41</v>
      </c>
      <c r="Y10" s="10">
        <v>46106.428668981483</v>
      </c>
      <c r="Z10" s="9" t="s">
        <v>10</v>
      </c>
      <c r="AA10" s="9" t="s">
        <v>27</v>
      </c>
      <c r="AB10" s="9" t="s">
        <v>40</v>
      </c>
      <c r="AC10" s="9">
        <v>10</v>
      </c>
      <c r="AD10" s="9">
        <v>25000</v>
      </c>
      <c r="AE10" s="9">
        <v>250000</v>
      </c>
      <c r="AF10" s="9" t="s">
        <v>42</v>
      </c>
    </row>
    <row r="11" spans="1:32" ht="15" x14ac:dyDescent="0.2">
      <c r="A11" s="9" t="s">
        <v>43</v>
      </c>
      <c r="B11" s="10">
        <v>46118.428668981483</v>
      </c>
      <c r="C11" s="9" t="s">
        <v>7</v>
      </c>
      <c r="D11" s="9" t="s">
        <v>31</v>
      </c>
      <c r="E11" s="9" t="s">
        <v>37</v>
      </c>
      <c r="F11" s="9">
        <v>1</v>
      </c>
      <c r="G11" s="9">
        <v>12000</v>
      </c>
      <c r="H11" s="9">
        <v>12000</v>
      </c>
      <c r="I11" s="9" t="s">
        <v>42</v>
      </c>
      <c r="L11" s="9" t="s">
        <v>43</v>
      </c>
      <c r="M11" s="10">
        <v>46118.428668981483</v>
      </c>
      <c r="N11" s="9" t="s">
        <v>7</v>
      </c>
      <c r="O11" s="9" t="s">
        <v>31</v>
      </c>
      <c r="P11" s="9" t="s">
        <v>37</v>
      </c>
      <c r="Q11" s="9">
        <v>1</v>
      </c>
      <c r="R11" s="9">
        <v>12000</v>
      </c>
      <c r="S11" s="9">
        <v>12000</v>
      </c>
      <c r="T11" s="9" t="s">
        <v>42</v>
      </c>
      <c r="X11" s="9" t="s">
        <v>43</v>
      </c>
      <c r="Y11" s="10">
        <v>46118.428668981483</v>
      </c>
      <c r="Z11" s="9" t="s">
        <v>7</v>
      </c>
      <c r="AA11" s="9" t="s">
        <v>31</v>
      </c>
      <c r="AB11" s="9" t="s">
        <v>37</v>
      </c>
      <c r="AC11" s="9">
        <v>1</v>
      </c>
      <c r="AD11" s="9">
        <v>12000</v>
      </c>
      <c r="AE11" s="9">
        <v>12000</v>
      </c>
      <c r="AF11" s="9" t="s">
        <v>42</v>
      </c>
    </row>
    <row r="12" spans="1:32" ht="15" x14ac:dyDescent="0.2">
      <c r="A12" s="9" t="s">
        <v>44</v>
      </c>
      <c r="B12" s="10">
        <v>46146.428668981483</v>
      </c>
      <c r="C12" s="9" t="s">
        <v>7</v>
      </c>
      <c r="D12" s="9" t="s">
        <v>23</v>
      </c>
      <c r="E12" s="9" t="s">
        <v>28</v>
      </c>
      <c r="F12" s="9">
        <v>5</v>
      </c>
      <c r="G12" s="9">
        <v>8000</v>
      </c>
      <c r="H12" s="9">
        <v>40000</v>
      </c>
      <c r="I12" s="9" t="s">
        <v>25</v>
      </c>
      <c r="L12" s="9" t="s">
        <v>44</v>
      </c>
      <c r="M12" s="10">
        <v>46146.428668981483</v>
      </c>
      <c r="N12" s="9" t="s">
        <v>7</v>
      </c>
      <c r="O12" s="9" t="s">
        <v>23</v>
      </c>
      <c r="P12" s="9" t="s">
        <v>28</v>
      </c>
      <c r="Q12" s="9">
        <v>5</v>
      </c>
      <c r="R12" s="9">
        <v>8000</v>
      </c>
      <c r="S12" s="9">
        <v>40000</v>
      </c>
      <c r="T12" s="9" t="s">
        <v>25</v>
      </c>
      <c r="X12" s="9" t="s">
        <v>44</v>
      </c>
      <c r="Y12" s="10">
        <v>46146.428668981483</v>
      </c>
      <c r="Z12" s="9" t="s">
        <v>7</v>
      </c>
      <c r="AA12" s="9" t="s">
        <v>23</v>
      </c>
      <c r="AB12" s="9" t="s">
        <v>28</v>
      </c>
      <c r="AC12" s="9">
        <v>5</v>
      </c>
      <c r="AD12" s="9">
        <v>8000</v>
      </c>
      <c r="AE12" s="9">
        <v>40000</v>
      </c>
      <c r="AF12" s="9" t="s">
        <v>25</v>
      </c>
    </row>
    <row r="13" spans="1:32" ht="15" x14ac:dyDescent="0.2">
      <c r="A13" s="9" t="s">
        <v>45</v>
      </c>
      <c r="B13" s="10">
        <v>46119.428668981483</v>
      </c>
      <c r="C13" s="9" t="s">
        <v>10</v>
      </c>
      <c r="D13" s="9" t="s">
        <v>31</v>
      </c>
      <c r="E13" s="9" t="s">
        <v>37</v>
      </c>
      <c r="F13" s="9">
        <v>3</v>
      </c>
      <c r="G13" s="9">
        <v>75000</v>
      </c>
      <c r="H13" s="9">
        <v>225000</v>
      </c>
      <c r="I13" s="9" t="s">
        <v>46</v>
      </c>
      <c r="L13" s="9" t="s">
        <v>45</v>
      </c>
      <c r="M13" s="10">
        <v>46119.428668981483</v>
      </c>
      <c r="N13" s="9" t="s">
        <v>10</v>
      </c>
      <c r="O13" s="9" t="s">
        <v>31</v>
      </c>
      <c r="P13" s="9" t="s">
        <v>37</v>
      </c>
      <c r="Q13" s="9">
        <v>3</v>
      </c>
      <c r="R13" s="9">
        <v>75000</v>
      </c>
      <c r="S13" s="9">
        <v>225000</v>
      </c>
      <c r="T13" s="9" t="s">
        <v>46</v>
      </c>
      <c r="V13">
        <f>MAX(S2:S41)</f>
        <v>600000</v>
      </c>
      <c r="X13" s="9" t="s">
        <v>45</v>
      </c>
      <c r="Y13" s="10">
        <v>46119.428668981483</v>
      </c>
      <c r="Z13" s="9" t="s">
        <v>10</v>
      </c>
      <c r="AA13" s="9" t="s">
        <v>31</v>
      </c>
      <c r="AB13" s="9" t="s">
        <v>37</v>
      </c>
      <c r="AC13" s="9">
        <v>3</v>
      </c>
      <c r="AD13" s="9">
        <v>75000</v>
      </c>
      <c r="AE13" s="9">
        <v>225000</v>
      </c>
      <c r="AF13" s="9" t="s">
        <v>46</v>
      </c>
    </row>
    <row r="14" spans="1:32" ht="15" x14ac:dyDescent="0.2">
      <c r="A14" s="9" t="s">
        <v>47</v>
      </c>
      <c r="B14" s="10">
        <v>46107.428668981483</v>
      </c>
      <c r="C14" s="9" t="s">
        <v>10</v>
      </c>
      <c r="D14" s="9" t="s">
        <v>31</v>
      </c>
      <c r="E14" s="9" t="s">
        <v>24</v>
      </c>
      <c r="F14" s="9">
        <v>9</v>
      </c>
      <c r="G14" s="9">
        <v>25000</v>
      </c>
      <c r="H14" s="9">
        <v>225000</v>
      </c>
      <c r="I14" s="9" t="s">
        <v>29</v>
      </c>
      <c r="L14" s="9" t="s">
        <v>47</v>
      </c>
      <c r="M14" s="10">
        <v>46107.428668981483</v>
      </c>
      <c r="N14" s="9" t="s">
        <v>10</v>
      </c>
      <c r="O14" s="9" t="s">
        <v>31</v>
      </c>
      <c r="P14" s="9" t="s">
        <v>24</v>
      </c>
      <c r="Q14" s="9">
        <v>9</v>
      </c>
      <c r="R14" s="9">
        <v>25000</v>
      </c>
      <c r="S14" s="9">
        <v>225000</v>
      </c>
      <c r="T14" s="9" t="s">
        <v>29</v>
      </c>
      <c r="X14" s="9" t="s">
        <v>47</v>
      </c>
      <c r="Y14" s="10">
        <v>46107.428668981483</v>
      </c>
      <c r="Z14" s="9" t="s">
        <v>10</v>
      </c>
      <c r="AA14" s="9" t="s">
        <v>31</v>
      </c>
      <c r="AB14" s="9" t="s">
        <v>24</v>
      </c>
      <c r="AC14" s="9">
        <v>9</v>
      </c>
      <c r="AD14" s="9">
        <v>25000</v>
      </c>
      <c r="AE14" s="9">
        <v>225000</v>
      </c>
      <c r="AF14" s="9" t="s">
        <v>29</v>
      </c>
    </row>
    <row r="15" spans="1:32" ht="15" x14ac:dyDescent="0.2">
      <c r="A15" s="9" t="s">
        <v>48</v>
      </c>
      <c r="B15" s="10">
        <v>46153.428668981483</v>
      </c>
      <c r="C15" s="9" t="s">
        <v>5</v>
      </c>
      <c r="D15" s="9" t="s">
        <v>31</v>
      </c>
      <c r="E15" s="9" t="s">
        <v>40</v>
      </c>
      <c r="F15" s="9">
        <v>6</v>
      </c>
      <c r="G15" s="9">
        <v>25000</v>
      </c>
      <c r="H15" s="9">
        <v>150000</v>
      </c>
      <c r="I15" s="9"/>
      <c r="L15" s="9" t="s">
        <v>48</v>
      </c>
      <c r="M15" s="10">
        <v>46153.428668981483</v>
      </c>
      <c r="N15" s="9" t="s">
        <v>5</v>
      </c>
      <c r="O15" s="9" t="s">
        <v>31</v>
      </c>
      <c r="P15" s="9" t="s">
        <v>40</v>
      </c>
      <c r="Q15" s="9">
        <v>6</v>
      </c>
      <c r="R15" s="9">
        <v>25000</v>
      </c>
      <c r="S15" s="9">
        <v>150000</v>
      </c>
      <c r="T15" s="9"/>
      <c r="X15" s="9" t="s">
        <v>48</v>
      </c>
      <c r="Y15" s="10">
        <v>46153.428668981483</v>
      </c>
      <c r="Z15" s="9" t="s">
        <v>5</v>
      </c>
      <c r="AA15" s="9" t="s">
        <v>31</v>
      </c>
      <c r="AB15" s="9" t="s">
        <v>40</v>
      </c>
      <c r="AC15" s="9">
        <v>6</v>
      </c>
      <c r="AD15" s="9">
        <v>25000</v>
      </c>
      <c r="AE15" s="9">
        <v>150000</v>
      </c>
      <c r="AF15" s="9"/>
    </row>
    <row r="16" spans="1:32" ht="15" x14ac:dyDescent="0.2">
      <c r="A16" s="9" t="s">
        <v>49</v>
      </c>
      <c r="B16" s="10">
        <v>46108.428668981483</v>
      </c>
      <c r="C16" s="9" t="s">
        <v>5</v>
      </c>
      <c r="D16" s="9" t="s">
        <v>31</v>
      </c>
      <c r="E16" s="9" t="s">
        <v>40</v>
      </c>
      <c r="F16" s="9">
        <v>1</v>
      </c>
      <c r="G16" s="9">
        <v>8000</v>
      </c>
      <c r="H16" s="9">
        <v>8000</v>
      </c>
      <c r="I16" s="9" t="s">
        <v>25</v>
      </c>
      <c r="L16" s="9" t="s">
        <v>49</v>
      </c>
      <c r="M16" s="10">
        <v>46108.428668981483</v>
      </c>
      <c r="N16" s="9" t="s">
        <v>5</v>
      </c>
      <c r="O16" s="9" t="s">
        <v>31</v>
      </c>
      <c r="P16" s="9" t="s">
        <v>40</v>
      </c>
      <c r="Q16" s="9">
        <v>1</v>
      </c>
      <c r="R16" s="9">
        <v>8000</v>
      </c>
      <c r="S16" s="9">
        <v>8000</v>
      </c>
      <c r="T16" s="9" t="s">
        <v>25</v>
      </c>
      <c r="X16" s="9" t="s">
        <v>49</v>
      </c>
      <c r="Y16" s="10">
        <v>46108.428668981483</v>
      </c>
      <c r="Z16" s="9" t="s">
        <v>5</v>
      </c>
      <c r="AA16" s="9" t="s">
        <v>31</v>
      </c>
      <c r="AB16" s="9" t="s">
        <v>40</v>
      </c>
      <c r="AC16" s="9">
        <v>1</v>
      </c>
      <c r="AD16" s="9">
        <v>8000</v>
      </c>
      <c r="AE16" s="9">
        <v>8000</v>
      </c>
      <c r="AF16" s="9" t="s">
        <v>25</v>
      </c>
    </row>
    <row r="17" spans="1:32" ht="15" x14ac:dyDescent="0.2">
      <c r="A17" s="9" t="s">
        <v>49</v>
      </c>
      <c r="B17" s="10">
        <v>46120.428668981483</v>
      </c>
      <c r="C17" s="9" t="s">
        <v>10</v>
      </c>
      <c r="D17" s="9" t="s">
        <v>31</v>
      </c>
      <c r="E17" s="9" t="s">
        <v>24</v>
      </c>
      <c r="F17" s="9">
        <v>8</v>
      </c>
      <c r="G17" s="9">
        <v>60000</v>
      </c>
      <c r="H17" s="9">
        <v>480000</v>
      </c>
      <c r="I17" s="9" t="s">
        <v>29</v>
      </c>
      <c r="L17" s="9" t="s">
        <v>49</v>
      </c>
      <c r="M17" s="10">
        <v>46120.428668981483</v>
      </c>
      <c r="N17" s="9" t="s">
        <v>10</v>
      </c>
      <c r="O17" s="9" t="s">
        <v>31</v>
      </c>
      <c r="P17" s="9" t="s">
        <v>24</v>
      </c>
      <c r="Q17" s="9">
        <v>8</v>
      </c>
      <c r="R17" s="9">
        <v>60000</v>
      </c>
      <c r="S17" s="9">
        <v>480000</v>
      </c>
      <c r="T17" s="9" t="s">
        <v>29</v>
      </c>
      <c r="X17" s="9" t="s">
        <v>49</v>
      </c>
      <c r="Y17" s="10">
        <v>46120.428668981483</v>
      </c>
      <c r="Z17" s="9" t="s">
        <v>10</v>
      </c>
      <c r="AA17" s="9" t="s">
        <v>31</v>
      </c>
      <c r="AB17" s="9" t="s">
        <v>24</v>
      </c>
      <c r="AC17" s="9">
        <v>8</v>
      </c>
      <c r="AD17" s="9">
        <v>60000</v>
      </c>
      <c r="AE17" s="9">
        <v>480000</v>
      </c>
      <c r="AF17" s="9" t="s">
        <v>29</v>
      </c>
    </row>
    <row r="18" spans="1:32" ht="15" x14ac:dyDescent="0.2">
      <c r="A18" s="9" t="s">
        <v>50</v>
      </c>
      <c r="B18" s="10">
        <v>46133.428668981483</v>
      </c>
      <c r="C18" s="9" t="s">
        <v>5</v>
      </c>
      <c r="D18" s="9" t="s">
        <v>27</v>
      </c>
      <c r="E18" s="9" t="s">
        <v>40</v>
      </c>
      <c r="F18" s="9">
        <v>2</v>
      </c>
      <c r="G18" s="9">
        <v>60000</v>
      </c>
      <c r="H18" s="9">
        <v>120000</v>
      </c>
      <c r="I18" s="9"/>
      <c r="L18" s="9" t="s">
        <v>50</v>
      </c>
      <c r="M18" s="10">
        <v>46133.428668981483</v>
      </c>
      <c r="N18" s="9" t="s">
        <v>5</v>
      </c>
      <c r="O18" s="9" t="s">
        <v>27</v>
      </c>
      <c r="P18" s="9" t="s">
        <v>40</v>
      </c>
      <c r="Q18" s="9">
        <v>2</v>
      </c>
      <c r="R18" s="9">
        <v>60000</v>
      </c>
      <c r="S18" s="9">
        <v>120000</v>
      </c>
      <c r="T18" s="9"/>
      <c r="X18" s="9" t="s">
        <v>50</v>
      </c>
      <c r="Y18" s="10">
        <v>46133.428668981483</v>
      </c>
      <c r="Z18" s="9" t="s">
        <v>5</v>
      </c>
      <c r="AA18" s="9" t="s">
        <v>27</v>
      </c>
      <c r="AB18" s="9" t="s">
        <v>40</v>
      </c>
      <c r="AC18" s="9">
        <v>2</v>
      </c>
      <c r="AD18" s="9">
        <v>60000</v>
      </c>
      <c r="AE18" s="9">
        <v>120000</v>
      </c>
      <c r="AF18" s="9"/>
    </row>
    <row r="19" spans="1:32" ht="15" x14ac:dyDescent="0.2">
      <c r="A19" s="9" t="s">
        <v>51</v>
      </c>
      <c r="B19" s="10">
        <v>46095.428668981483</v>
      </c>
      <c r="C19" s="9" t="s">
        <v>7</v>
      </c>
      <c r="D19" s="9" t="s">
        <v>31</v>
      </c>
      <c r="E19" s="9" t="s">
        <v>40</v>
      </c>
      <c r="F19" s="9">
        <v>4</v>
      </c>
      <c r="G19" s="9">
        <v>8000</v>
      </c>
      <c r="H19" s="9">
        <v>32000</v>
      </c>
      <c r="I19" s="9"/>
      <c r="L19" s="9" t="s">
        <v>51</v>
      </c>
      <c r="M19" s="10">
        <v>46095.428668981483</v>
      </c>
      <c r="N19" s="9" t="s">
        <v>7</v>
      </c>
      <c r="O19" s="9" t="s">
        <v>31</v>
      </c>
      <c r="P19" s="9" t="s">
        <v>40</v>
      </c>
      <c r="Q19" s="9">
        <v>4</v>
      </c>
      <c r="R19" s="9">
        <v>8000</v>
      </c>
      <c r="S19" s="9">
        <v>32000</v>
      </c>
      <c r="T19" s="9"/>
      <c r="X19" s="9" t="s">
        <v>51</v>
      </c>
      <c r="Y19" s="10">
        <v>46095.428668981483</v>
      </c>
      <c r="Z19" s="9" t="s">
        <v>7</v>
      </c>
      <c r="AA19" s="9" t="s">
        <v>31</v>
      </c>
      <c r="AB19" s="9" t="s">
        <v>40</v>
      </c>
      <c r="AC19" s="9">
        <v>4</v>
      </c>
      <c r="AD19" s="9">
        <v>8000</v>
      </c>
      <c r="AE19" s="9">
        <v>32000</v>
      </c>
      <c r="AF19" s="9"/>
    </row>
    <row r="20" spans="1:32" ht="15" x14ac:dyDescent="0.2">
      <c r="A20" s="9" t="s">
        <v>52</v>
      </c>
      <c r="B20" s="10">
        <v>46145.428668981483</v>
      </c>
      <c r="C20" s="9" t="s">
        <v>8</v>
      </c>
      <c r="D20" s="9" t="s">
        <v>27</v>
      </c>
      <c r="E20" s="9" t="s">
        <v>40</v>
      </c>
      <c r="F20" s="9">
        <v>4</v>
      </c>
      <c r="G20" s="9">
        <v>60000</v>
      </c>
      <c r="H20" s="9">
        <v>240000</v>
      </c>
      <c r="I20" s="9" t="s">
        <v>42</v>
      </c>
      <c r="L20" s="9" t="s">
        <v>52</v>
      </c>
      <c r="M20" s="10">
        <v>46145.428668981483</v>
      </c>
      <c r="N20" s="9" t="s">
        <v>8</v>
      </c>
      <c r="O20" s="9" t="s">
        <v>27</v>
      </c>
      <c r="P20" s="9" t="s">
        <v>40</v>
      </c>
      <c r="Q20" s="9">
        <v>4</v>
      </c>
      <c r="R20" s="9">
        <v>60000</v>
      </c>
      <c r="S20" s="9">
        <v>240000</v>
      </c>
      <c r="T20" s="9" t="s">
        <v>42</v>
      </c>
      <c r="X20" s="9" t="s">
        <v>52</v>
      </c>
      <c r="Y20" s="10">
        <v>46145.428668981483</v>
      </c>
      <c r="Z20" s="9" t="s">
        <v>8</v>
      </c>
      <c r="AA20" s="9" t="s">
        <v>27</v>
      </c>
      <c r="AB20" s="9" t="s">
        <v>40</v>
      </c>
      <c r="AC20" s="9">
        <v>4</v>
      </c>
      <c r="AD20" s="9">
        <v>60000</v>
      </c>
      <c r="AE20" s="9">
        <v>240000</v>
      </c>
      <c r="AF20" s="9" t="s">
        <v>42</v>
      </c>
    </row>
    <row r="21" spans="1:32" ht="15" x14ac:dyDescent="0.2">
      <c r="A21" s="9" t="s">
        <v>53</v>
      </c>
      <c r="B21" s="10">
        <v>46108.428668981483</v>
      </c>
      <c r="C21" s="9" t="s">
        <v>7</v>
      </c>
      <c r="D21" s="9" t="s">
        <v>23</v>
      </c>
      <c r="E21" s="9" t="s">
        <v>24</v>
      </c>
      <c r="F21" s="9">
        <v>4</v>
      </c>
      <c r="G21" s="9">
        <v>60000</v>
      </c>
      <c r="H21" s="9">
        <v>240000</v>
      </c>
      <c r="I21" s="9" t="s">
        <v>42</v>
      </c>
      <c r="L21" s="9" t="s">
        <v>53</v>
      </c>
      <c r="M21" s="10">
        <v>46108.428668981483</v>
      </c>
      <c r="N21" s="9" t="s">
        <v>7</v>
      </c>
      <c r="O21" s="9" t="s">
        <v>23</v>
      </c>
      <c r="P21" s="9" t="s">
        <v>24</v>
      </c>
      <c r="Q21" s="9">
        <v>4</v>
      </c>
      <c r="R21" s="9">
        <v>60000</v>
      </c>
      <c r="S21" s="9">
        <v>240000</v>
      </c>
      <c r="T21" s="9" t="s">
        <v>42</v>
      </c>
      <c r="X21" s="9" t="s">
        <v>53</v>
      </c>
      <c r="Y21" s="10">
        <v>46108.428668981483</v>
      </c>
      <c r="Z21" s="9" t="s">
        <v>7</v>
      </c>
      <c r="AA21" s="9" t="s">
        <v>23</v>
      </c>
      <c r="AB21" s="9" t="s">
        <v>24</v>
      </c>
      <c r="AC21" s="9">
        <v>4</v>
      </c>
      <c r="AD21" s="9">
        <v>60000</v>
      </c>
      <c r="AE21" s="9">
        <v>240000</v>
      </c>
      <c r="AF21" s="9" t="s">
        <v>42</v>
      </c>
    </row>
    <row r="22" spans="1:32" ht="15" x14ac:dyDescent="0.2">
      <c r="A22" s="9" t="s">
        <v>54</v>
      </c>
      <c r="B22" s="10">
        <v>46129.428668981483</v>
      </c>
      <c r="C22" s="9" t="s">
        <v>10</v>
      </c>
      <c r="D22" s="9" t="s">
        <v>31</v>
      </c>
      <c r="E22" s="9" t="s">
        <v>32</v>
      </c>
      <c r="F22" s="9">
        <v>8</v>
      </c>
      <c r="G22" s="9">
        <v>8000</v>
      </c>
      <c r="H22" s="9">
        <v>64000</v>
      </c>
      <c r="I22" s="9" t="s">
        <v>25</v>
      </c>
      <c r="L22" s="9" t="s">
        <v>54</v>
      </c>
      <c r="M22" s="10">
        <v>46129.428668981483</v>
      </c>
      <c r="N22" s="9" t="s">
        <v>10</v>
      </c>
      <c r="O22" s="9" t="s">
        <v>31</v>
      </c>
      <c r="P22" s="9" t="s">
        <v>32</v>
      </c>
      <c r="Q22" s="9">
        <v>8</v>
      </c>
      <c r="R22" s="9">
        <v>8000</v>
      </c>
      <c r="S22" s="9">
        <v>64000</v>
      </c>
      <c r="T22" s="9" t="s">
        <v>25</v>
      </c>
      <c r="X22" s="9" t="s">
        <v>54</v>
      </c>
      <c r="Y22" s="10">
        <v>46129.428668981483</v>
      </c>
      <c r="Z22" s="9" t="s">
        <v>10</v>
      </c>
      <c r="AA22" s="9" t="s">
        <v>31</v>
      </c>
      <c r="AB22" s="9" t="s">
        <v>32</v>
      </c>
      <c r="AC22" s="9">
        <v>8</v>
      </c>
      <c r="AD22" s="9">
        <v>8000</v>
      </c>
      <c r="AE22" s="9">
        <v>64000</v>
      </c>
      <c r="AF22" s="9" t="s">
        <v>25</v>
      </c>
    </row>
    <row r="23" spans="1:32" ht="15" x14ac:dyDescent="0.2">
      <c r="A23" s="9" t="s">
        <v>55</v>
      </c>
      <c r="B23" s="10">
        <v>46119.428668981483</v>
      </c>
      <c r="C23" s="9" t="s">
        <v>5</v>
      </c>
      <c r="D23" s="9" t="s">
        <v>31</v>
      </c>
      <c r="E23" s="9" t="s">
        <v>24</v>
      </c>
      <c r="F23" s="9">
        <v>9</v>
      </c>
      <c r="G23" s="9">
        <v>12000</v>
      </c>
      <c r="H23" s="9">
        <v>108000</v>
      </c>
      <c r="I23" s="9" t="s">
        <v>42</v>
      </c>
      <c r="L23" s="9" t="s">
        <v>55</v>
      </c>
      <c r="M23" s="10">
        <v>46119.428668981483</v>
      </c>
      <c r="N23" s="9" t="s">
        <v>5</v>
      </c>
      <c r="O23" s="9" t="s">
        <v>31</v>
      </c>
      <c r="P23" s="9" t="s">
        <v>24</v>
      </c>
      <c r="Q23" s="9">
        <v>9</v>
      </c>
      <c r="R23" s="9">
        <v>12000</v>
      </c>
      <c r="S23" s="9">
        <v>108000</v>
      </c>
      <c r="T23" s="9" t="s">
        <v>42</v>
      </c>
      <c r="X23" s="9" t="s">
        <v>55</v>
      </c>
      <c r="Y23" s="10">
        <v>46119.428668981483</v>
      </c>
      <c r="Z23" s="9" t="s">
        <v>5</v>
      </c>
      <c r="AA23" s="9" t="s">
        <v>31</v>
      </c>
      <c r="AB23" s="9" t="s">
        <v>24</v>
      </c>
      <c r="AC23" s="9">
        <v>9</v>
      </c>
      <c r="AD23" s="9">
        <v>12000</v>
      </c>
      <c r="AE23" s="9">
        <v>108000</v>
      </c>
      <c r="AF23" s="9" t="s">
        <v>42</v>
      </c>
    </row>
    <row r="24" spans="1:32" ht="15" x14ac:dyDescent="0.2">
      <c r="A24" s="9" t="s">
        <v>56</v>
      </c>
      <c r="B24" s="10">
        <v>46119.428668981483</v>
      </c>
      <c r="C24" s="9" t="s">
        <v>8</v>
      </c>
      <c r="D24" s="9" t="s">
        <v>31</v>
      </c>
      <c r="E24" s="9" t="s">
        <v>32</v>
      </c>
      <c r="F24" s="9">
        <v>4</v>
      </c>
      <c r="G24" s="9">
        <v>75000</v>
      </c>
      <c r="H24" s="9">
        <v>300000</v>
      </c>
      <c r="I24" s="9" t="s">
        <v>42</v>
      </c>
      <c r="L24" s="9" t="s">
        <v>56</v>
      </c>
      <c r="M24" s="10">
        <v>46119.428668981483</v>
      </c>
      <c r="N24" s="9" t="s">
        <v>8</v>
      </c>
      <c r="O24" s="9" t="s">
        <v>31</v>
      </c>
      <c r="P24" s="9" t="s">
        <v>32</v>
      </c>
      <c r="Q24" s="9">
        <v>4</v>
      </c>
      <c r="R24" s="9">
        <v>75000</v>
      </c>
      <c r="S24" s="9">
        <v>300000</v>
      </c>
      <c r="T24" s="9" t="s">
        <v>42</v>
      </c>
      <c r="X24" s="9" t="s">
        <v>56</v>
      </c>
      <c r="Y24" s="10">
        <v>46119.428668981483</v>
      </c>
      <c r="Z24" s="9" t="s">
        <v>8</v>
      </c>
      <c r="AA24" s="9" t="s">
        <v>31</v>
      </c>
      <c r="AB24" s="9" t="s">
        <v>32</v>
      </c>
      <c r="AC24" s="9">
        <v>4</v>
      </c>
      <c r="AD24" s="9">
        <v>75000</v>
      </c>
      <c r="AE24" s="9">
        <v>300000</v>
      </c>
      <c r="AF24" s="9" t="s">
        <v>42</v>
      </c>
    </row>
    <row r="25" spans="1:32" ht="15" x14ac:dyDescent="0.2">
      <c r="A25" s="9" t="s">
        <v>56</v>
      </c>
      <c r="B25" s="10">
        <v>46130.428668981483</v>
      </c>
      <c r="C25" s="9" t="s">
        <v>7</v>
      </c>
      <c r="D25" s="9" t="s">
        <v>23</v>
      </c>
      <c r="E25" s="9" t="s">
        <v>32</v>
      </c>
      <c r="F25" s="9">
        <v>8</v>
      </c>
      <c r="G25" s="9">
        <v>75000</v>
      </c>
      <c r="H25" s="9">
        <v>600000</v>
      </c>
      <c r="I25" s="9" t="s">
        <v>38</v>
      </c>
      <c r="L25" s="9" t="s">
        <v>56</v>
      </c>
      <c r="M25" s="10">
        <v>46130.428668981483</v>
      </c>
      <c r="N25" s="9" t="s">
        <v>7</v>
      </c>
      <c r="O25" s="9" t="s">
        <v>23</v>
      </c>
      <c r="P25" s="9" t="s">
        <v>32</v>
      </c>
      <c r="Q25" s="9">
        <v>8</v>
      </c>
      <c r="R25" s="9">
        <v>75000</v>
      </c>
      <c r="S25" s="9">
        <v>600000</v>
      </c>
      <c r="T25" s="9" t="s">
        <v>38</v>
      </c>
      <c r="X25" s="9" t="s">
        <v>56</v>
      </c>
      <c r="Y25" s="10">
        <v>46130.428668981483</v>
      </c>
      <c r="Z25" s="9" t="s">
        <v>7</v>
      </c>
      <c r="AA25" s="9" t="s">
        <v>23</v>
      </c>
      <c r="AB25" s="9" t="s">
        <v>32</v>
      </c>
      <c r="AC25" s="9">
        <v>8</v>
      </c>
      <c r="AD25" s="9">
        <v>75000</v>
      </c>
      <c r="AE25" s="9">
        <v>600000</v>
      </c>
      <c r="AF25" s="9" t="s">
        <v>38</v>
      </c>
    </row>
    <row r="26" spans="1:32" ht="15" x14ac:dyDescent="0.2">
      <c r="A26" s="9" t="s">
        <v>57</v>
      </c>
      <c r="B26" s="10">
        <v>46126.428668981483</v>
      </c>
      <c r="C26" s="9" t="s">
        <v>7</v>
      </c>
      <c r="D26" s="9" t="s">
        <v>23</v>
      </c>
      <c r="E26" s="9" t="s">
        <v>40</v>
      </c>
      <c r="F26" s="9">
        <v>5</v>
      </c>
      <c r="G26" s="9">
        <v>8000</v>
      </c>
      <c r="H26" s="9">
        <v>40000</v>
      </c>
      <c r="I26" s="9" t="s">
        <v>29</v>
      </c>
      <c r="L26" s="9" t="s">
        <v>57</v>
      </c>
      <c r="M26" s="10">
        <v>46126.428668981483</v>
      </c>
      <c r="N26" s="9" t="s">
        <v>7</v>
      </c>
      <c r="O26" s="9" t="s">
        <v>23</v>
      </c>
      <c r="P26" s="9" t="s">
        <v>40</v>
      </c>
      <c r="Q26" s="9">
        <v>5</v>
      </c>
      <c r="R26" s="9">
        <v>8000</v>
      </c>
      <c r="S26" s="9">
        <v>40000</v>
      </c>
      <c r="T26" s="9" t="s">
        <v>29</v>
      </c>
      <c r="X26" s="9" t="s">
        <v>57</v>
      </c>
      <c r="Y26" s="10">
        <v>46126.428668981483</v>
      </c>
      <c r="Z26" s="9" t="s">
        <v>7</v>
      </c>
      <c r="AA26" s="9" t="s">
        <v>23</v>
      </c>
      <c r="AB26" s="9" t="s">
        <v>40</v>
      </c>
      <c r="AC26" s="9">
        <v>5</v>
      </c>
      <c r="AD26" s="9">
        <v>8000</v>
      </c>
      <c r="AE26" s="9">
        <v>40000</v>
      </c>
      <c r="AF26" s="9" t="s">
        <v>29</v>
      </c>
    </row>
    <row r="27" spans="1:32" ht="15" x14ac:dyDescent="0.2">
      <c r="A27" s="9" t="s">
        <v>58</v>
      </c>
      <c r="B27" s="10">
        <v>46142.428668981483</v>
      </c>
      <c r="C27" s="9" t="s">
        <v>5</v>
      </c>
      <c r="D27" s="9" t="s">
        <v>23</v>
      </c>
      <c r="E27" s="9" t="s">
        <v>37</v>
      </c>
      <c r="F27" s="9">
        <v>2</v>
      </c>
      <c r="G27" s="9">
        <v>12000</v>
      </c>
      <c r="H27" s="9">
        <v>24000</v>
      </c>
      <c r="I27" s="9" t="s">
        <v>46</v>
      </c>
      <c r="L27" s="9" t="s">
        <v>58</v>
      </c>
      <c r="M27" s="10">
        <v>46142.428668981483</v>
      </c>
      <c r="N27" s="9" t="s">
        <v>5</v>
      </c>
      <c r="O27" s="9" t="s">
        <v>23</v>
      </c>
      <c r="P27" s="9" t="s">
        <v>37</v>
      </c>
      <c r="Q27" s="9">
        <v>2</v>
      </c>
      <c r="R27" s="9">
        <v>12000</v>
      </c>
      <c r="S27" s="9">
        <v>24000</v>
      </c>
      <c r="T27" s="9" t="s">
        <v>46</v>
      </c>
      <c r="X27" s="9" t="s">
        <v>58</v>
      </c>
      <c r="Y27" s="10">
        <v>46142.428668981483</v>
      </c>
      <c r="Z27" s="9" t="s">
        <v>5</v>
      </c>
      <c r="AA27" s="9" t="s">
        <v>23</v>
      </c>
      <c r="AB27" s="9" t="s">
        <v>37</v>
      </c>
      <c r="AC27" s="9">
        <v>2</v>
      </c>
      <c r="AD27" s="9">
        <v>12000</v>
      </c>
      <c r="AE27" s="9">
        <v>24000</v>
      </c>
      <c r="AF27" s="9" t="s">
        <v>46</v>
      </c>
    </row>
    <row r="28" spans="1:32" ht="15" x14ac:dyDescent="0.2">
      <c r="A28" s="9" t="s">
        <v>59</v>
      </c>
      <c r="B28" s="10">
        <v>46113.428668981483</v>
      </c>
      <c r="C28" s="9" t="s">
        <v>8</v>
      </c>
      <c r="D28" s="9" t="s">
        <v>27</v>
      </c>
      <c r="E28" s="9" t="s">
        <v>32</v>
      </c>
      <c r="F28" s="9">
        <v>4</v>
      </c>
      <c r="G28" s="9">
        <v>12000</v>
      </c>
      <c r="H28" s="9">
        <v>48000</v>
      </c>
      <c r="I28" s="9"/>
      <c r="L28" s="9" t="s">
        <v>59</v>
      </c>
      <c r="M28" s="10">
        <v>46113.428668981483</v>
      </c>
      <c r="N28" s="9" t="s">
        <v>8</v>
      </c>
      <c r="O28" s="9" t="s">
        <v>27</v>
      </c>
      <c r="P28" s="9" t="s">
        <v>32</v>
      </c>
      <c r="Q28" s="9">
        <v>4</v>
      </c>
      <c r="R28" s="9">
        <v>12000</v>
      </c>
      <c r="S28" s="9">
        <v>48000</v>
      </c>
      <c r="T28" s="9"/>
      <c r="X28" s="9" t="s">
        <v>59</v>
      </c>
      <c r="Y28" s="10">
        <v>46113.428668981483</v>
      </c>
      <c r="Z28" s="9" t="s">
        <v>8</v>
      </c>
      <c r="AA28" s="9" t="s">
        <v>27</v>
      </c>
      <c r="AB28" s="9" t="s">
        <v>32</v>
      </c>
      <c r="AC28" s="9">
        <v>4</v>
      </c>
      <c r="AD28" s="9">
        <v>12000</v>
      </c>
      <c r="AE28" s="9">
        <v>48000</v>
      </c>
      <c r="AF28" s="9"/>
    </row>
    <row r="29" spans="1:32" ht="15" x14ac:dyDescent="0.2">
      <c r="A29" s="9" t="s">
        <v>60</v>
      </c>
      <c r="B29" s="10">
        <v>46106.428668981483</v>
      </c>
      <c r="C29" s="9" t="s">
        <v>8</v>
      </c>
      <c r="D29" s="9" t="s">
        <v>27</v>
      </c>
      <c r="E29" s="9" t="s">
        <v>32</v>
      </c>
      <c r="F29" s="9">
        <v>7</v>
      </c>
      <c r="G29" s="9">
        <v>60000</v>
      </c>
      <c r="H29" s="9">
        <v>420000</v>
      </c>
      <c r="I29" s="9"/>
      <c r="L29" s="9" t="s">
        <v>60</v>
      </c>
      <c r="M29" s="10">
        <v>46106.428668981483</v>
      </c>
      <c r="N29" s="9" t="s">
        <v>8</v>
      </c>
      <c r="O29" s="9" t="s">
        <v>27</v>
      </c>
      <c r="P29" s="9" t="s">
        <v>32</v>
      </c>
      <c r="Q29" s="9">
        <v>7</v>
      </c>
      <c r="R29" s="9">
        <v>60000</v>
      </c>
      <c r="S29" s="9">
        <v>420000</v>
      </c>
      <c r="T29" s="9"/>
      <c r="X29" s="9" t="s">
        <v>60</v>
      </c>
      <c r="Y29" s="10">
        <v>46106.428668981483</v>
      </c>
      <c r="Z29" s="9" t="s">
        <v>8</v>
      </c>
      <c r="AA29" s="9" t="s">
        <v>27</v>
      </c>
      <c r="AB29" s="9" t="s">
        <v>32</v>
      </c>
      <c r="AC29" s="9">
        <v>7</v>
      </c>
      <c r="AD29" s="9">
        <v>60000</v>
      </c>
      <c r="AE29" s="9">
        <v>420000</v>
      </c>
      <c r="AF29" s="9"/>
    </row>
    <row r="30" spans="1:32" ht="15" x14ac:dyDescent="0.2">
      <c r="A30" s="9" t="s">
        <v>61</v>
      </c>
      <c r="B30" s="10">
        <v>46142.428668981483</v>
      </c>
      <c r="C30" s="9" t="s">
        <v>5</v>
      </c>
      <c r="D30" s="9" t="s">
        <v>31</v>
      </c>
      <c r="E30" s="9" t="s">
        <v>24</v>
      </c>
      <c r="F30" s="9">
        <v>3</v>
      </c>
      <c r="G30" s="9">
        <v>8000</v>
      </c>
      <c r="H30" s="9">
        <v>24000</v>
      </c>
      <c r="I30" s="9" t="s">
        <v>38</v>
      </c>
      <c r="L30" s="9" t="s">
        <v>61</v>
      </c>
      <c r="M30" s="10">
        <v>46142.428668981483</v>
      </c>
      <c r="N30" s="9" t="s">
        <v>5</v>
      </c>
      <c r="O30" s="9" t="s">
        <v>31</v>
      </c>
      <c r="P30" s="9" t="s">
        <v>24</v>
      </c>
      <c r="Q30" s="9">
        <v>3</v>
      </c>
      <c r="R30" s="9">
        <v>8000</v>
      </c>
      <c r="S30" s="9">
        <v>24000</v>
      </c>
      <c r="T30" s="9" t="s">
        <v>38</v>
      </c>
      <c r="X30" s="9" t="s">
        <v>61</v>
      </c>
      <c r="Y30" s="10">
        <v>46142.428668981483</v>
      </c>
      <c r="Z30" s="9" t="s">
        <v>5</v>
      </c>
      <c r="AA30" s="9" t="s">
        <v>31</v>
      </c>
      <c r="AB30" s="9" t="s">
        <v>24</v>
      </c>
      <c r="AC30" s="9">
        <v>3</v>
      </c>
      <c r="AD30" s="9">
        <v>8000</v>
      </c>
      <c r="AE30" s="9">
        <v>24000</v>
      </c>
      <c r="AF30" s="9" t="s">
        <v>38</v>
      </c>
    </row>
    <row r="31" spans="1:32" ht="15" x14ac:dyDescent="0.2">
      <c r="A31" s="9" t="s">
        <v>62</v>
      </c>
      <c r="B31" s="10">
        <v>46107.428668981483</v>
      </c>
      <c r="C31" s="9" t="s">
        <v>5</v>
      </c>
      <c r="D31" s="9" t="s">
        <v>31</v>
      </c>
      <c r="E31" s="9" t="s">
        <v>40</v>
      </c>
      <c r="F31" s="9">
        <v>2</v>
      </c>
      <c r="G31" s="9">
        <v>25000</v>
      </c>
      <c r="H31" s="9">
        <v>50000</v>
      </c>
      <c r="I31" s="9" t="s">
        <v>42</v>
      </c>
      <c r="L31" s="9" t="s">
        <v>62</v>
      </c>
      <c r="M31" s="10">
        <v>46107.428668981483</v>
      </c>
      <c r="N31" s="9" t="s">
        <v>5</v>
      </c>
      <c r="O31" s="9" t="s">
        <v>31</v>
      </c>
      <c r="P31" s="9" t="s">
        <v>40</v>
      </c>
      <c r="Q31" s="9">
        <v>2</v>
      </c>
      <c r="R31" s="9">
        <v>25000</v>
      </c>
      <c r="S31" s="9">
        <v>50000</v>
      </c>
      <c r="T31" s="9" t="s">
        <v>42</v>
      </c>
      <c r="X31" s="9" t="s">
        <v>62</v>
      </c>
      <c r="Y31" s="10">
        <v>46107.428668981483</v>
      </c>
      <c r="Z31" s="9" t="s">
        <v>5</v>
      </c>
      <c r="AA31" s="9" t="s">
        <v>31</v>
      </c>
      <c r="AB31" s="9" t="s">
        <v>40</v>
      </c>
      <c r="AC31" s="9">
        <v>2</v>
      </c>
      <c r="AD31" s="9">
        <v>25000</v>
      </c>
      <c r="AE31" s="9">
        <v>50000</v>
      </c>
      <c r="AF31" s="9" t="s">
        <v>42</v>
      </c>
    </row>
    <row r="32" spans="1:32" ht="15" x14ac:dyDescent="0.2">
      <c r="A32" s="9" t="s">
        <v>63</v>
      </c>
      <c r="B32" s="10">
        <v>46141.428668981483</v>
      </c>
      <c r="C32" s="9" t="s">
        <v>8</v>
      </c>
      <c r="D32" s="9" t="s">
        <v>27</v>
      </c>
      <c r="E32" s="9" t="s">
        <v>40</v>
      </c>
      <c r="F32" s="9">
        <v>4</v>
      </c>
      <c r="G32" s="9">
        <v>12000</v>
      </c>
      <c r="H32" s="9">
        <v>48000</v>
      </c>
      <c r="I32" s="9" t="s">
        <v>46</v>
      </c>
      <c r="L32" s="9" t="s">
        <v>63</v>
      </c>
      <c r="M32" s="10">
        <v>46141.428668981483</v>
      </c>
      <c r="N32" s="9" t="s">
        <v>8</v>
      </c>
      <c r="O32" s="9" t="s">
        <v>27</v>
      </c>
      <c r="P32" s="9" t="s">
        <v>40</v>
      </c>
      <c r="Q32" s="9">
        <v>4</v>
      </c>
      <c r="R32" s="9">
        <v>12000</v>
      </c>
      <c r="S32" s="9">
        <v>48000</v>
      </c>
      <c r="T32" s="9" t="s">
        <v>46</v>
      </c>
      <c r="X32" s="9" t="s">
        <v>63</v>
      </c>
      <c r="Y32" s="10">
        <v>46141.428668981483</v>
      </c>
      <c r="Z32" s="9" t="s">
        <v>8</v>
      </c>
      <c r="AA32" s="9" t="s">
        <v>27</v>
      </c>
      <c r="AB32" s="9" t="s">
        <v>40</v>
      </c>
      <c r="AC32" s="9">
        <v>4</v>
      </c>
      <c r="AD32" s="9">
        <v>12000</v>
      </c>
      <c r="AE32" s="9">
        <v>48000</v>
      </c>
      <c r="AF32" s="9" t="s">
        <v>46</v>
      </c>
    </row>
    <row r="33" spans="1:32" ht="15" x14ac:dyDescent="0.2">
      <c r="A33" s="9" t="s">
        <v>63</v>
      </c>
      <c r="B33" s="10">
        <v>46129.428668981483</v>
      </c>
      <c r="C33" s="9" t="s">
        <v>8</v>
      </c>
      <c r="D33" s="9" t="s">
        <v>31</v>
      </c>
      <c r="E33" s="9" t="s">
        <v>40</v>
      </c>
      <c r="F33" s="9">
        <v>7</v>
      </c>
      <c r="G33" s="9">
        <v>75000</v>
      </c>
      <c r="H33" s="9">
        <v>525000</v>
      </c>
      <c r="I33" s="9" t="s">
        <v>46</v>
      </c>
      <c r="L33" s="9" t="s">
        <v>63</v>
      </c>
      <c r="M33" s="10">
        <v>46129.428668981483</v>
      </c>
      <c r="N33" s="9" t="s">
        <v>8</v>
      </c>
      <c r="O33" s="9" t="s">
        <v>31</v>
      </c>
      <c r="P33" s="9" t="s">
        <v>40</v>
      </c>
      <c r="Q33" s="9">
        <v>7</v>
      </c>
      <c r="R33" s="9">
        <v>75000</v>
      </c>
      <c r="S33" s="9">
        <v>525000</v>
      </c>
      <c r="T33" s="9" t="s">
        <v>46</v>
      </c>
      <c r="X33" s="9" t="s">
        <v>63</v>
      </c>
      <c r="Y33" s="10">
        <v>46129.428668981483</v>
      </c>
      <c r="Z33" s="9" t="s">
        <v>8</v>
      </c>
      <c r="AA33" s="9" t="s">
        <v>31</v>
      </c>
      <c r="AB33" s="9" t="s">
        <v>40</v>
      </c>
      <c r="AC33" s="9">
        <v>7</v>
      </c>
      <c r="AD33" s="9">
        <v>75000</v>
      </c>
      <c r="AE33" s="9">
        <v>525000</v>
      </c>
      <c r="AF33" s="9" t="s">
        <v>46</v>
      </c>
    </row>
    <row r="34" spans="1:32" ht="15" x14ac:dyDescent="0.2">
      <c r="A34" s="9" t="s">
        <v>64</v>
      </c>
      <c r="B34" s="10">
        <v>46117.428668981483</v>
      </c>
      <c r="C34" s="9" t="s">
        <v>8</v>
      </c>
      <c r="D34" s="9" t="s">
        <v>31</v>
      </c>
      <c r="E34" s="9" t="s">
        <v>40</v>
      </c>
      <c r="F34" s="9">
        <v>7</v>
      </c>
      <c r="G34" s="9">
        <v>60000</v>
      </c>
      <c r="H34" s="9">
        <v>420000</v>
      </c>
      <c r="I34" s="9" t="s">
        <v>46</v>
      </c>
      <c r="L34" s="9" t="s">
        <v>64</v>
      </c>
      <c r="M34" s="10">
        <v>46117.428668981483</v>
      </c>
      <c r="N34" s="9" t="s">
        <v>8</v>
      </c>
      <c r="O34" s="9" t="s">
        <v>31</v>
      </c>
      <c r="P34" s="9" t="s">
        <v>40</v>
      </c>
      <c r="Q34" s="9">
        <v>7</v>
      </c>
      <c r="R34" s="9">
        <v>60000</v>
      </c>
      <c r="S34" s="9">
        <v>420000</v>
      </c>
      <c r="T34" s="9" t="s">
        <v>46</v>
      </c>
      <c r="X34" s="9" t="s">
        <v>64</v>
      </c>
      <c r="Y34" s="10">
        <v>46117.428668981483</v>
      </c>
      <c r="Z34" s="9" t="s">
        <v>8</v>
      </c>
      <c r="AA34" s="9" t="s">
        <v>31</v>
      </c>
      <c r="AB34" s="9" t="s">
        <v>40</v>
      </c>
      <c r="AC34" s="9">
        <v>7</v>
      </c>
      <c r="AD34" s="9">
        <v>60000</v>
      </c>
      <c r="AE34" s="9">
        <v>420000</v>
      </c>
      <c r="AF34" s="9" t="s">
        <v>46</v>
      </c>
    </row>
    <row r="35" spans="1:32" ht="15" x14ac:dyDescent="0.2">
      <c r="A35" s="9" t="s">
        <v>65</v>
      </c>
      <c r="B35" s="10">
        <v>46099.428668981483</v>
      </c>
      <c r="C35" s="9" t="s">
        <v>10</v>
      </c>
      <c r="D35" s="9" t="s">
        <v>23</v>
      </c>
      <c r="E35" s="9" t="s">
        <v>40</v>
      </c>
      <c r="F35" s="9">
        <v>5</v>
      </c>
      <c r="G35" s="9">
        <v>60000</v>
      </c>
      <c r="H35" s="9">
        <v>300000</v>
      </c>
      <c r="I35" s="9"/>
      <c r="L35" s="9" t="s">
        <v>65</v>
      </c>
      <c r="M35" s="10">
        <v>46099.428668981483</v>
      </c>
      <c r="N35" s="9" t="s">
        <v>10</v>
      </c>
      <c r="O35" s="9" t="s">
        <v>23</v>
      </c>
      <c r="P35" s="9" t="s">
        <v>40</v>
      </c>
      <c r="Q35" s="9">
        <v>5</v>
      </c>
      <c r="R35" s="9">
        <v>60000</v>
      </c>
      <c r="S35" s="9">
        <v>300000</v>
      </c>
      <c r="T35" s="9"/>
      <c r="X35" s="9" t="s">
        <v>65</v>
      </c>
      <c r="Y35" s="10">
        <v>46099.428668981483</v>
      </c>
      <c r="Z35" s="9" t="s">
        <v>10</v>
      </c>
      <c r="AA35" s="9" t="s">
        <v>23</v>
      </c>
      <c r="AB35" s="9" t="s">
        <v>40</v>
      </c>
      <c r="AC35" s="9">
        <v>5</v>
      </c>
      <c r="AD35" s="9">
        <v>60000</v>
      </c>
      <c r="AE35" s="9">
        <v>300000</v>
      </c>
      <c r="AF35" s="9"/>
    </row>
    <row r="36" spans="1:32" ht="15" x14ac:dyDescent="0.2">
      <c r="A36" s="9" t="s">
        <v>66</v>
      </c>
      <c r="B36" s="10">
        <v>46110.428668981483</v>
      </c>
      <c r="C36" s="9" t="s">
        <v>5</v>
      </c>
      <c r="D36" s="9" t="s">
        <v>27</v>
      </c>
      <c r="E36" s="9" t="s">
        <v>28</v>
      </c>
      <c r="F36" s="9">
        <v>8</v>
      </c>
      <c r="G36" s="9">
        <v>75000</v>
      </c>
      <c r="H36" s="9">
        <v>600000</v>
      </c>
      <c r="I36" s="9" t="s">
        <v>38</v>
      </c>
      <c r="L36" s="9" t="s">
        <v>66</v>
      </c>
      <c r="M36" s="10">
        <v>46110.428668981483</v>
      </c>
      <c r="N36" s="9" t="s">
        <v>5</v>
      </c>
      <c r="O36" s="9" t="s">
        <v>27</v>
      </c>
      <c r="P36" s="9" t="s">
        <v>28</v>
      </c>
      <c r="Q36" s="9">
        <v>8</v>
      </c>
      <c r="R36" s="9">
        <v>75000</v>
      </c>
      <c r="S36" s="9">
        <v>600000</v>
      </c>
      <c r="T36" s="9" t="s">
        <v>38</v>
      </c>
      <c r="X36" s="9" t="s">
        <v>66</v>
      </c>
      <c r="Y36" s="10">
        <v>46110.428668981483</v>
      </c>
      <c r="Z36" s="9" t="s">
        <v>5</v>
      </c>
      <c r="AA36" s="9" t="s">
        <v>27</v>
      </c>
      <c r="AB36" s="9" t="s">
        <v>28</v>
      </c>
      <c r="AC36" s="9">
        <v>8</v>
      </c>
      <c r="AD36" s="9">
        <v>75000</v>
      </c>
      <c r="AE36" s="9">
        <v>600000</v>
      </c>
      <c r="AF36" s="9" t="s">
        <v>38</v>
      </c>
    </row>
    <row r="37" spans="1:32" ht="15" x14ac:dyDescent="0.2">
      <c r="A37" s="9" t="s">
        <v>67</v>
      </c>
      <c r="B37" s="10">
        <v>46125.428668981483</v>
      </c>
      <c r="C37" s="9" t="s">
        <v>8</v>
      </c>
      <c r="D37" s="9" t="s">
        <v>31</v>
      </c>
      <c r="E37" s="9" t="s">
        <v>37</v>
      </c>
      <c r="F37" s="9">
        <v>1</v>
      </c>
      <c r="G37" s="9">
        <v>75000</v>
      </c>
      <c r="H37" s="9">
        <v>75000</v>
      </c>
      <c r="I37" s="9" t="s">
        <v>29</v>
      </c>
      <c r="L37" s="9" t="s">
        <v>67</v>
      </c>
      <c r="M37" s="10">
        <v>46125.428668981483</v>
      </c>
      <c r="N37" s="9" t="s">
        <v>8</v>
      </c>
      <c r="O37" s="9" t="s">
        <v>31</v>
      </c>
      <c r="P37" s="9" t="s">
        <v>37</v>
      </c>
      <c r="Q37" s="9">
        <v>1</v>
      </c>
      <c r="R37" s="9">
        <v>75000</v>
      </c>
      <c r="S37" s="9">
        <v>75000</v>
      </c>
      <c r="T37" s="9" t="s">
        <v>29</v>
      </c>
      <c r="X37" s="9" t="s">
        <v>67</v>
      </c>
      <c r="Y37" s="10">
        <v>46125.428668981483</v>
      </c>
      <c r="Z37" s="9" t="s">
        <v>8</v>
      </c>
      <c r="AA37" s="9" t="s">
        <v>31</v>
      </c>
      <c r="AB37" s="9" t="s">
        <v>37</v>
      </c>
      <c r="AC37" s="9">
        <v>1</v>
      </c>
      <c r="AD37" s="9">
        <v>75000</v>
      </c>
      <c r="AE37" s="9">
        <v>75000</v>
      </c>
      <c r="AF37" s="9" t="s">
        <v>29</v>
      </c>
    </row>
    <row r="38" spans="1:32" ht="15" x14ac:dyDescent="0.2">
      <c r="A38" s="9" t="s">
        <v>68</v>
      </c>
      <c r="B38" s="10">
        <v>46110.428668981483</v>
      </c>
      <c r="C38" s="9" t="s">
        <v>5</v>
      </c>
      <c r="D38" s="9" t="s">
        <v>27</v>
      </c>
      <c r="E38" s="9" t="s">
        <v>32</v>
      </c>
      <c r="F38" s="9">
        <v>10</v>
      </c>
      <c r="G38" s="9">
        <v>8000</v>
      </c>
      <c r="H38" s="9">
        <v>80000</v>
      </c>
      <c r="I38" s="9" t="s">
        <v>38</v>
      </c>
      <c r="L38" s="9" t="s">
        <v>68</v>
      </c>
      <c r="M38" s="10">
        <v>46110.428668981483</v>
      </c>
      <c r="N38" s="9" t="s">
        <v>5</v>
      </c>
      <c r="O38" s="9" t="s">
        <v>27</v>
      </c>
      <c r="P38" s="9" t="s">
        <v>32</v>
      </c>
      <c r="Q38" s="9">
        <v>10</v>
      </c>
      <c r="R38" s="9">
        <v>8000</v>
      </c>
      <c r="S38" s="9">
        <v>80000</v>
      </c>
      <c r="T38" s="9" t="s">
        <v>38</v>
      </c>
      <c r="X38" s="9" t="s">
        <v>68</v>
      </c>
      <c r="Y38" s="10">
        <v>46110.428668981483</v>
      </c>
      <c r="Z38" s="9" t="s">
        <v>5</v>
      </c>
      <c r="AA38" s="9" t="s">
        <v>27</v>
      </c>
      <c r="AB38" s="9" t="s">
        <v>32</v>
      </c>
      <c r="AC38" s="9">
        <v>10</v>
      </c>
      <c r="AD38" s="9">
        <v>8000</v>
      </c>
      <c r="AE38" s="9">
        <v>80000</v>
      </c>
      <c r="AF38" s="9" t="s">
        <v>38</v>
      </c>
    </row>
    <row r="39" spans="1:32" ht="15" x14ac:dyDescent="0.2">
      <c r="A39" s="9" t="s">
        <v>69</v>
      </c>
      <c r="B39" s="10">
        <v>46122.428668981483</v>
      </c>
      <c r="C39" s="9" t="s">
        <v>7</v>
      </c>
      <c r="D39" s="9" t="s">
        <v>27</v>
      </c>
      <c r="E39" s="9" t="s">
        <v>37</v>
      </c>
      <c r="F39" s="9">
        <v>3</v>
      </c>
      <c r="G39" s="9">
        <v>75000</v>
      </c>
      <c r="H39" s="9">
        <v>225000</v>
      </c>
      <c r="I39" s="9" t="s">
        <v>46</v>
      </c>
      <c r="L39" s="9" t="s">
        <v>69</v>
      </c>
      <c r="M39" s="10">
        <v>46122.428668981483</v>
      </c>
      <c r="N39" s="9" t="s">
        <v>7</v>
      </c>
      <c r="O39" s="9" t="s">
        <v>27</v>
      </c>
      <c r="P39" s="9" t="s">
        <v>37</v>
      </c>
      <c r="Q39" s="9">
        <v>3</v>
      </c>
      <c r="R39" s="9">
        <v>75000</v>
      </c>
      <c r="S39" s="9">
        <v>225000</v>
      </c>
      <c r="T39" s="9" t="s">
        <v>46</v>
      </c>
      <c r="X39" s="9" t="s">
        <v>69</v>
      </c>
      <c r="Y39" s="10">
        <v>46122.428668981483</v>
      </c>
      <c r="Z39" s="9" t="s">
        <v>7</v>
      </c>
      <c r="AA39" s="9" t="s">
        <v>27</v>
      </c>
      <c r="AB39" s="9" t="s">
        <v>37</v>
      </c>
      <c r="AC39" s="9">
        <v>3</v>
      </c>
      <c r="AD39" s="9">
        <v>75000</v>
      </c>
      <c r="AE39" s="9">
        <v>225000</v>
      </c>
      <c r="AF39" s="9" t="s">
        <v>46</v>
      </c>
    </row>
    <row r="40" spans="1:32" ht="15" x14ac:dyDescent="0.2">
      <c r="A40" s="9" t="s">
        <v>70</v>
      </c>
      <c r="B40" s="10">
        <v>46105.428668981483</v>
      </c>
      <c r="C40" s="9" t="s">
        <v>7</v>
      </c>
      <c r="D40" s="9" t="s">
        <v>27</v>
      </c>
      <c r="E40" s="9" t="s">
        <v>32</v>
      </c>
      <c r="F40" s="9">
        <v>5</v>
      </c>
      <c r="G40" s="9">
        <v>75000</v>
      </c>
      <c r="H40" s="9">
        <v>375000</v>
      </c>
      <c r="I40" s="9" t="s">
        <v>29</v>
      </c>
      <c r="L40" s="9" t="s">
        <v>70</v>
      </c>
      <c r="M40" s="10">
        <v>46105.428668981483</v>
      </c>
      <c r="N40" s="9" t="s">
        <v>7</v>
      </c>
      <c r="O40" s="9" t="s">
        <v>27</v>
      </c>
      <c r="P40" s="9" t="s">
        <v>32</v>
      </c>
      <c r="Q40" s="9">
        <v>5</v>
      </c>
      <c r="R40" s="9">
        <v>75000</v>
      </c>
      <c r="S40" s="9">
        <v>375000</v>
      </c>
      <c r="T40" s="9" t="s">
        <v>29</v>
      </c>
      <c r="X40" s="9" t="s">
        <v>70</v>
      </c>
      <c r="Y40" s="10">
        <v>46105.428668981483</v>
      </c>
      <c r="Z40" s="9" t="s">
        <v>7</v>
      </c>
      <c r="AA40" s="9" t="s">
        <v>27</v>
      </c>
      <c r="AB40" s="9" t="s">
        <v>32</v>
      </c>
      <c r="AC40" s="9">
        <v>5</v>
      </c>
      <c r="AD40" s="9">
        <v>75000</v>
      </c>
      <c r="AE40" s="9">
        <v>375000</v>
      </c>
      <c r="AF40" s="9" t="s">
        <v>29</v>
      </c>
    </row>
    <row r="41" spans="1:32" ht="15" x14ac:dyDescent="0.2">
      <c r="A41" s="9" t="s">
        <v>70</v>
      </c>
      <c r="B41" s="10">
        <v>46097.428668981483</v>
      </c>
      <c r="C41" s="9" t="s">
        <v>8</v>
      </c>
      <c r="D41" s="9" t="s">
        <v>23</v>
      </c>
      <c r="E41" s="9" t="s">
        <v>24</v>
      </c>
      <c r="F41" s="9">
        <v>3</v>
      </c>
      <c r="G41" s="9">
        <v>8000</v>
      </c>
      <c r="H41" s="9">
        <v>24000</v>
      </c>
      <c r="I41" s="9" t="s">
        <v>46</v>
      </c>
      <c r="L41" s="9" t="s">
        <v>70</v>
      </c>
      <c r="M41" s="10">
        <v>46097.428668981483</v>
      </c>
      <c r="N41" s="9" t="s">
        <v>8</v>
      </c>
      <c r="O41" s="9" t="s">
        <v>23</v>
      </c>
      <c r="P41" s="9" t="s">
        <v>24</v>
      </c>
      <c r="Q41" s="9">
        <v>3</v>
      </c>
      <c r="R41" s="9">
        <v>8000</v>
      </c>
      <c r="S41" s="9">
        <v>24000</v>
      </c>
      <c r="T41" s="9" t="s">
        <v>46</v>
      </c>
      <c r="X41" s="9" t="s">
        <v>70</v>
      </c>
      <c r="Y41" s="10">
        <v>46097.428668981483</v>
      </c>
      <c r="Z41" s="9" t="s">
        <v>8</v>
      </c>
      <c r="AA41" s="9" t="s">
        <v>23</v>
      </c>
      <c r="AB41" s="9" t="s">
        <v>24</v>
      </c>
      <c r="AC41" s="9">
        <v>3</v>
      </c>
      <c r="AD41" s="9">
        <v>8000</v>
      </c>
      <c r="AE41" s="9">
        <v>24000</v>
      </c>
      <c r="AF41" s="9" t="s">
        <v>46</v>
      </c>
    </row>
    <row r="42" spans="1:32" x14ac:dyDescent="0.15">
      <c r="L42" s="24"/>
      <c r="M42" s="24"/>
      <c r="N42" s="24"/>
      <c r="O42" s="24"/>
      <c r="P42" s="24"/>
      <c r="Q42" s="24"/>
      <c r="R42" s="24"/>
      <c r="S42" s="24"/>
      <c r="T42" s="24"/>
    </row>
  </sheetData>
  <conditionalFormatting sqref="A2:I41">
    <cfRule type="expression" dxfId="23" priority="25">
      <formula>$H2&gt;40000</formula>
    </cfRule>
    <cfRule type="expression" dxfId="22" priority="24">
      <formula>$C2="North"</formula>
    </cfRule>
    <cfRule type="expression" dxfId="21" priority="23">
      <formula>$F2&lt;3</formula>
    </cfRule>
    <cfRule type="expression" dxfId="20" priority="22">
      <formula>AND($E2="Mobile",$F2&gt;5)</formula>
    </cfRule>
  </conditionalFormatting>
  <conditionalFormatting sqref="L2:T41">
    <cfRule type="expression" dxfId="19" priority="17">
      <formula>$R2&gt;50000</formula>
    </cfRule>
    <cfRule type="expression" dxfId="18" priority="16">
      <formula>$T2="Amit"</formula>
    </cfRule>
    <cfRule type="expression" dxfId="12" priority="15">
      <formula>$R2&gt;50000</formula>
    </cfRule>
    <cfRule type="expression" dxfId="17" priority="14">
      <formula>AND($M2&gt;=TODAY()-30, $M2&lt;=TODAY())</formula>
    </cfRule>
    <cfRule type="expression" dxfId="16" priority="13">
      <formula>$S2=600000</formula>
    </cfRule>
    <cfRule type="expression" dxfId="15" priority="12">
      <formula>AND($O2="Accessories",$S2&lt;100000)</formula>
    </cfRule>
  </conditionalFormatting>
  <conditionalFormatting sqref="X1:AF1">
    <cfRule type="expression" dxfId="14" priority="2">
      <formula>$AC2*$AD2&lt;&gt;$AE2</formula>
    </cfRule>
  </conditionalFormatting>
  <conditionalFormatting sqref="X2:AG2 X5:AG41 X3:AF4">
    <cfRule type="expression" dxfId="13" priority="1">
      <formula>$AC2*$AD2&lt;&gt;$AE2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5"/>
  <sheetViews>
    <sheetView topLeftCell="B1" zoomScale="108" workbookViewId="0">
      <selection activeCell="H1" sqref="H1:H42"/>
    </sheetView>
  </sheetViews>
  <sheetFormatPr baseColWidth="10" defaultColWidth="12.5" defaultRowHeight="15.75" customHeight="1" x14ac:dyDescent="0.15"/>
  <cols>
    <col min="1" max="1" width="16.33203125" customWidth="1"/>
    <col min="2" max="2" width="16.5" customWidth="1"/>
    <col min="3" max="3" width="8.83203125" customWidth="1"/>
    <col min="4" max="4" width="11.6640625" customWidth="1"/>
    <col min="6" max="6" width="9.6640625" customWidth="1"/>
    <col min="7" max="7" width="11.1640625" customWidth="1"/>
    <col min="8" max="8" width="11.5" customWidth="1"/>
    <col min="9" max="9" width="10.83203125" customWidth="1"/>
    <col min="10" max="10" width="12" customWidth="1"/>
    <col min="11" max="11" width="15.33203125" customWidth="1"/>
  </cols>
  <sheetData>
    <row r="1" spans="1:12" ht="15" x14ac:dyDescent="0.2">
      <c r="A1" s="8" t="s">
        <v>16</v>
      </c>
      <c r="B1" s="8" t="s">
        <v>2</v>
      </c>
      <c r="C1" s="8" t="s">
        <v>1</v>
      </c>
      <c r="D1" s="8" t="s">
        <v>17</v>
      </c>
      <c r="E1" s="8" t="s">
        <v>0</v>
      </c>
      <c r="F1" s="8" t="s">
        <v>18</v>
      </c>
      <c r="G1" s="8" t="s">
        <v>19</v>
      </c>
      <c r="H1" s="8" t="s">
        <v>20</v>
      </c>
      <c r="I1" s="8" t="s">
        <v>21</v>
      </c>
      <c r="K1" s="8" t="s">
        <v>20</v>
      </c>
      <c r="L1" s="8" t="s">
        <v>18</v>
      </c>
    </row>
    <row r="2" spans="1:12" ht="15" x14ac:dyDescent="0.2">
      <c r="A2" s="9" t="s">
        <v>22</v>
      </c>
      <c r="B2" s="10">
        <v>46147.428668981483</v>
      </c>
      <c r="C2" s="9" t="s">
        <v>8</v>
      </c>
      <c r="D2" s="9" t="s">
        <v>23</v>
      </c>
      <c r="E2" s="9" t="s">
        <v>24</v>
      </c>
      <c r="F2" s="9">
        <v>5</v>
      </c>
      <c r="G2" s="9">
        <v>8000</v>
      </c>
      <c r="H2" s="9">
        <v>40000</v>
      </c>
      <c r="I2" s="9" t="s">
        <v>25</v>
      </c>
      <c r="K2" s="9">
        <v>40000</v>
      </c>
      <c r="L2" s="9">
        <v>5</v>
      </c>
    </row>
    <row r="3" spans="1:12" ht="15" x14ac:dyDescent="0.2">
      <c r="A3" s="9" t="s">
        <v>26</v>
      </c>
      <c r="B3" s="10">
        <v>46102.428668981483</v>
      </c>
      <c r="C3" s="9" t="s">
        <v>8</v>
      </c>
      <c r="D3" s="9" t="s">
        <v>27</v>
      </c>
      <c r="E3" s="9" t="s">
        <v>28</v>
      </c>
      <c r="F3" s="9">
        <v>5</v>
      </c>
      <c r="G3" s="9">
        <v>75000</v>
      </c>
      <c r="H3" s="9">
        <v>375000</v>
      </c>
      <c r="I3" s="9" t="s">
        <v>29</v>
      </c>
      <c r="K3" s="9">
        <v>375000</v>
      </c>
      <c r="L3" s="9">
        <v>5</v>
      </c>
    </row>
    <row r="4" spans="1:12" ht="15" x14ac:dyDescent="0.2">
      <c r="A4" s="9" t="s">
        <v>30</v>
      </c>
      <c r="B4" s="10">
        <v>46147.428668981483</v>
      </c>
      <c r="C4" s="9" t="s">
        <v>8</v>
      </c>
      <c r="D4" s="9" t="s">
        <v>31</v>
      </c>
      <c r="E4" s="9" t="s">
        <v>32</v>
      </c>
      <c r="F4" s="9">
        <v>3</v>
      </c>
      <c r="G4" s="9">
        <v>8000</v>
      </c>
      <c r="H4" s="9">
        <v>24000</v>
      </c>
      <c r="I4" s="6"/>
      <c r="K4" s="9">
        <v>24000</v>
      </c>
      <c r="L4" s="9">
        <v>3</v>
      </c>
    </row>
    <row r="5" spans="1:12" ht="15" x14ac:dyDescent="0.2">
      <c r="A5" s="9" t="s">
        <v>33</v>
      </c>
      <c r="B5" s="10">
        <v>46103.428668981483</v>
      </c>
      <c r="C5" s="9" t="s">
        <v>5</v>
      </c>
      <c r="D5" s="9" t="s">
        <v>23</v>
      </c>
      <c r="E5" s="9" t="s">
        <v>34</v>
      </c>
      <c r="F5" s="9">
        <v>8</v>
      </c>
      <c r="G5" s="9">
        <v>25000</v>
      </c>
      <c r="H5" s="9">
        <v>200000</v>
      </c>
      <c r="I5" s="6"/>
      <c r="K5" s="9">
        <v>200000</v>
      </c>
      <c r="L5" s="9">
        <v>8</v>
      </c>
    </row>
    <row r="6" spans="1:12" ht="15" x14ac:dyDescent="0.2">
      <c r="A6" s="9" t="s">
        <v>35</v>
      </c>
      <c r="B6" s="10">
        <v>46134.428668981483</v>
      </c>
      <c r="C6" s="9" t="s">
        <v>7</v>
      </c>
      <c r="D6" s="9" t="s">
        <v>23</v>
      </c>
      <c r="E6" s="9" t="s">
        <v>34</v>
      </c>
      <c r="F6" s="9">
        <v>6</v>
      </c>
      <c r="G6" s="9">
        <v>75000</v>
      </c>
      <c r="H6" s="9">
        <v>450000</v>
      </c>
      <c r="I6" s="9" t="s">
        <v>25</v>
      </c>
      <c r="K6" s="9">
        <v>450000</v>
      </c>
      <c r="L6" s="9">
        <v>6</v>
      </c>
    </row>
    <row r="7" spans="1:12" ht="15" x14ac:dyDescent="0.2">
      <c r="A7" s="9" t="s">
        <v>36</v>
      </c>
      <c r="B7" s="10">
        <v>46109.428668981483</v>
      </c>
      <c r="C7" s="9" t="s">
        <v>7</v>
      </c>
      <c r="D7" s="9" t="s">
        <v>27</v>
      </c>
      <c r="E7" s="9" t="s">
        <v>37</v>
      </c>
      <c r="F7" s="9">
        <v>10</v>
      </c>
      <c r="G7" s="9">
        <v>25000</v>
      </c>
      <c r="H7" s="9">
        <v>250000</v>
      </c>
      <c r="I7" s="9" t="s">
        <v>38</v>
      </c>
      <c r="K7" s="9">
        <v>250000</v>
      </c>
      <c r="L7" s="9">
        <v>10</v>
      </c>
    </row>
    <row r="8" spans="1:12" ht="15" x14ac:dyDescent="0.2">
      <c r="A8" s="9" t="s">
        <v>39</v>
      </c>
      <c r="B8" s="10">
        <v>46122.428668981483</v>
      </c>
      <c r="C8" s="9" t="s">
        <v>8</v>
      </c>
      <c r="D8" s="9" t="s">
        <v>27</v>
      </c>
      <c r="E8" s="9" t="s">
        <v>28</v>
      </c>
      <c r="F8" s="9">
        <v>2</v>
      </c>
      <c r="G8" s="9">
        <v>12000</v>
      </c>
      <c r="H8" s="9">
        <v>24000</v>
      </c>
      <c r="I8" s="9" t="s">
        <v>25</v>
      </c>
      <c r="K8" s="9">
        <v>24000</v>
      </c>
      <c r="L8" s="9">
        <v>2</v>
      </c>
    </row>
    <row r="9" spans="1:12" ht="15" x14ac:dyDescent="0.2">
      <c r="A9" s="9" t="s">
        <v>39</v>
      </c>
      <c r="B9" s="10">
        <v>46095.428668981483</v>
      </c>
      <c r="C9" s="9" t="s">
        <v>7</v>
      </c>
      <c r="D9" s="9" t="s">
        <v>31</v>
      </c>
      <c r="E9" s="9" t="s">
        <v>40</v>
      </c>
      <c r="F9" s="9">
        <v>5</v>
      </c>
      <c r="G9" s="9">
        <v>8000</v>
      </c>
      <c r="H9" s="9">
        <v>40000</v>
      </c>
      <c r="I9" s="9" t="s">
        <v>38</v>
      </c>
      <c r="K9" s="9">
        <v>40000</v>
      </c>
      <c r="L9" s="9">
        <v>5</v>
      </c>
    </row>
    <row r="10" spans="1:12" ht="15" x14ac:dyDescent="0.2">
      <c r="A10" s="9" t="s">
        <v>41</v>
      </c>
      <c r="B10" s="10">
        <v>46106.428668981483</v>
      </c>
      <c r="C10" s="9" t="s">
        <v>10</v>
      </c>
      <c r="D10" s="9" t="s">
        <v>27</v>
      </c>
      <c r="E10" s="9" t="s">
        <v>40</v>
      </c>
      <c r="F10" s="9">
        <v>10</v>
      </c>
      <c r="G10" s="9">
        <v>25000</v>
      </c>
      <c r="H10" s="9">
        <v>250000</v>
      </c>
      <c r="I10" s="9" t="s">
        <v>42</v>
      </c>
      <c r="K10" s="9">
        <v>250000</v>
      </c>
      <c r="L10" s="9">
        <v>10</v>
      </c>
    </row>
    <row r="11" spans="1:12" ht="15" x14ac:dyDescent="0.2">
      <c r="A11" s="9" t="s">
        <v>43</v>
      </c>
      <c r="B11" s="10">
        <v>46118.428668981483</v>
      </c>
      <c r="C11" s="9" t="s">
        <v>7</v>
      </c>
      <c r="D11" s="9" t="s">
        <v>31</v>
      </c>
      <c r="E11" s="9" t="s">
        <v>37</v>
      </c>
      <c r="F11" s="9">
        <v>1</v>
      </c>
      <c r="G11" s="9">
        <v>12000</v>
      </c>
      <c r="H11" s="9">
        <v>12000</v>
      </c>
      <c r="I11" s="9" t="s">
        <v>42</v>
      </c>
      <c r="K11" s="9">
        <v>12000</v>
      </c>
      <c r="L11" s="9">
        <v>1</v>
      </c>
    </row>
    <row r="12" spans="1:12" ht="15" x14ac:dyDescent="0.2">
      <c r="A12" s="9" t="s">
        <v>44</v>
      </c>
      <c r="B12" s="10">
        <v>46146.428668981483</v>
      </c>
      <c r="C12" s="9" t="s">
        <v>7</v>
      </c>
      <c r="D12" s="9" t="s">
        <v>23</v>
      </c>
      <c r="E12" s="9" t="s">
        <v>28</v>
      </c>
      <c r="F12" s="9">
        <v>5</v>
      </c>
      <c r="G12" s="9">
        <v>8000</v>
      </c>
      <c r="H12" s="9">
        <v>40000</v>
      </c>
      <c r="I12" s="9" t="s">
        <v>25</v>
      </c>
      <c r="K12" s="9">
        <v>40000</v>
      </c>
      <c r="L12" s="9">
        <v>5</v>
      </c>
    </row>
    <row r="13" spans="1:12" ht="15" x14ac:dyDescent="0.2">
      <c r="A13" s="9" t="s">
        <v>45</v>
      </c>
      <c r="B13" s="10">
        <v>46119.428668981483</v>
      </c>
      <c r="C13" s="9" t="s">
        <v>10</v>
      </c>
      <c r="D13" s="9" t="s">
        <v>31</v>
      </c>
      <c r="E13" s="9" t="s">
        <v>37</v>
      </c>
      <c r="F13" s="9">
        <v>3</v>
      </c>
      <c r="G13" s="9">
        <v>75000</v>
      </c>
      <c r="H13" s="9">
        <v>225000</v>
      </c>
      <c r="I13" s="9" t="s">
        <v>46</v>
      </c>
      <c r="K13" s="9">
        <v>225000</v>
      </c>
      <c r="L13" s="9">
        <v>3</v>
      </c>
    </row>
    <row r="14" spans="1:12" ht="15" x14ac:dyDescent="0.2">
      <c r="A14" s="9" t="s">
        <v>47</v>
      </c>
      <c r="B14" s="10">
        <v>46107.428668981483</v>
      </c>
      <c r="C14" s="9" t="s">
        <v>10</v>
      </c>
      <c r="D14" s="9" t="s">
        <v>31</v>
      </c>
      <c r="E14" s="9" t="s">
        <v>24</v>
      </c>
      <c r="F14" s="9">
        <v>9</v>
      </c>
      <c r="G14" s="9">
        <v>25000</v>
      </c>
      <c r="H14" s="9">
        <v>225000</v>
      </c>
      <c r="I14" s="9" t="s">
        <v>29</v>
      </c>
      <c r="K14" s="9">
        <v>225000</v>
      </c>
      <c r="L14" s="9">
        <v>9</v>
      </c>
    </row>
    <row r="15" spans="1:12" ht="15" x14ac:dyDescent="0.2">
      <c r="A15" s="9" t="s">
        <v>48</v>
      </c>
      <c r="B15" s="10">
        <v>46153.428668981483</v>
      </c>
      <c r="C15" s="9" t="s">
        <v>5</v>
      </c>
      <c r="D15" s="9" t="s">
        <v>31</v>
      </c>
      <c r="E15" s="9" t="s">
        <v>40</v>
      </c>
      <c r="F15" s="9">
        <v>6</v>
      </c>
      <c r="G15" s="9">
        <v>25000</v>
      </c>
      <c r="H15" s="9">
        <v>150000</v>
      </c>
      <c r="I15" s="6"/>
      <c r="K15" s="9">
        <v>150000</v>
      </c>
      <c r="L15" s="9">
        <v>6</v>
      </c>
    </row>
    <row r="16" spans="1:12" ht="15" x14ac:dyDescent="0.2">
      <c r="A16" s="9" t="s">
        <v>49</v>
      </c>
      <c r="B16" s="10">
        <v>46108.428668981483</v>
      </c>
      <c r="C16" s="9" t="s">
        <v>5</v>
      </c>
      <c r="D16" s="9" t="s">
        <v>31</v>
      </c>
      <c r="E16" s="9" t="s">
        <v>40</v>
      </c>
      <c r="F16" s="9">
        <v>1</v>
      </c>
      <c r="G16" s="9">
        <v>8000</v>
      </c>
      <c r="H16" s="9">
        <v>8000</v>
      </c>
      <c r="I16" s="9" t="s">
        <v>25</v>
      </c>
      <c r="K16" s="9">
        <v>8000</v>
      </c>
      <c r="L16" s="9">
        <v>1</v>
      </c>
    </row>
    <row r="17" spans="1:12" ht="15" x14ac:dyDescent="0.2">
      <c r="A17" s="9" t="s">
        <v>49</v>
      </c>
      <c r="B17" s="10">
        <v>46120.428668981483</v>
      </c>
      <c r="C17" s="9" t="s">
        <v>10</v>
      </c>
      <c r="D17" s="9" t="s">
        <v>31</v>
      </c>
      <c r="E17" s="9" t="s">
        <v>24</v>
      </c>
      <c r="F17" s="9">
        <v>8</v>
      </c>
      <c r="G17" s="9">
        <v>60000</v>
      </c>
      <c r="H17" s="9">
        <v>480000</v>
      </c>
      <c r="I17" s="9" t="s">
        <v>29</v>
      </c>
      <c r="K17" s="9">
        <v>480000</v>
      </c>
      <c r="L17" s="9">
        <v>8</v>
      </c>
    </row>
    <row r="18" spans="1:12" ht="15" x14ac:dyDescent="0.2">
      <c r="A18" s="9" t="s">
        <v>50</v>
      </c>
      <c r="B18" s="10">
        <v>46133.428668981483</v>
      </c>
      <c r="C18" s="9" t="s">
        <v>5</v>
      </c>
      <c r="D18" s="9" t="s">
        <v>27</v>
      </c>
      <c r="E18" s="9" t="s">
        <v>40</v>
      </c>
      <c r="F18" s="9">
        <v>2</v>
      </c>
      <c r="G18" s="9">
        <v>60000</v>
      </c>
      <c r="H18" s="9">
        <v>120000</v>
      </c>
      <c r="I18" s="6"/>
      <c r="K18" s="9">
        <v>120000</v>
      </c>
      <c r="L18" s="9">
        <v>2</v>
      </c>
    </row>
    <row r="19" spans="1:12" ht="15" x14ac:dyDescent="0.2">
      <c r="A19" s="9" t="s">
        <v>51</v>
      </c>
      <c r="B19" s="10">
        <v>46095.428668981483</v>
      </c>
      <c r="C19" s="9" t="s">
        <v>7</v>
      </c>
      <c r="D19" s="9" t="s">
        <v>31</v>
      </c>
      <c r="E19" s="9" t="s">
        <v>40</v>
      </c>
      <c r="F19" s="9">
        <v>4</v>
      </c>
      <c r="G19" s="9">
        <v>8000</v>
      </c>
      <c r="H19" s="9">
        <v>32000</v>
      </c>
      <c r="I19" s="6"/>
      <c r="K19" s="9">
        <v>32000</v>
      </c>
      <c r="L19" s="9">
        <v>4</v>
      </c>
    </row>
    <row r="20" spans="1:12" ht="15" x14ac:dyDescent="0.2">
      <c r="A20" s="9" t="s">
        <v>52</v>
      </c>
      <c r="B20" s="10">
        <v>46145.428668981483</v>
      </c>
      <c r="C20" s="9" t="s">
        <v>8</v>
      </c>
      <c r="D20" s="9" t="s">
        <v>27</v>
      </c>
      <c r="E20" s="9" t="s">
        <v>40</v>
      </c>
      <c r="F20" s="9">
        <v>4</v>
      </c>
      <c r="G20" s="9">
        <v>60000</v>
      </c>
      <c r="H20" s="9">
        <v>240000</v>
      </c>
      <c r="I20" s="9" t="s">
        <v>42</v>
      </c>
      <c r="K20" s="9">
        <v>240000</v>
      </c>
      <c r="L20" s="9">
        <v>4</v>
      </c>
    </row>
    <row r="21" spans="1:12" ht="15" x14ac:dyDescent="0.2">
      <c r="A21" s="9" t="s">
        <v>53</v>
      </c>
      <c r="B21" s="10">
        <v>46108.428668981483</v>
      </c>
      <c r="C21" s="9" t="s">
        <v>7</v>
      </c>
      <c r="D21" s="9" t="s">
        <v>23</v>
      </c>
      <c r="E21" s="9" t="s">
        <v>24</v>
      </c>
      <c r="F21" s="9">
        <v>4</v>
      </c>
      <c r="G21" s="9">
        <v>60000</v>
      </c>
      <c r="H21" s="9">
        <v>240000</v>
      </c>
      <c r="I21" s="9" t="s">
        <v>42</v>
      </c>
      <c r="K21" s="9">
        <v>240000</v>
      </c>
      <c r="L21" s="9">
        <v>4</v>
      </c>
    </row>
    <row r="22" spans="1:12" ht="15" x14ac:dyDescent="0.2">
      <c r="A22" s="9" t="s">
        <v>54</v>
      </c>
      <c r="B22" s="10">
        <v>46129.428668981483</v>
      </c>
      <c r="C22" s="9" t="s">
        <v>10</v>
      </c>
      <c r="D22" s="9" t="s">
        <v>31</v>
      </c>
      <c r="E22" s="9" t="s">
        <v>32</v>
      </c>
      <c r="F22" s="9">
        <v>8</v>
      </c>
      <c r="G22" s="9">
        <v>8000</v>
      </c>
      <c r="H22" s="9">
        <v>64000</v>
      </c>
      <c r="I22" s="9" t="s">
        <v>25</v>
      </c>
      <c r="K22" s="9">
        <v>64000</v>
      </c>
      <c r="L22" s="9">
        <v>8</v>
      </c>
    </row>
    <row r="23" spans="1:12" ht="15" x14ac:dyDescent="0.2">
      <c r="A23" s="9" t="s">
        <v>55</v>
      </c>
      <c r="B23" s="10">
        <v>46119.428668981483</v>
      </c>
      <c r="C23" s="9" t="s">
        <v>5</v>
      </c>
      <c r="D23" s="9" t="s">
        <v>31</v>
      </c>
      <c r="E23" s="9" t="s">
        <v>24</v>
      </c>
      <c r="F23" s="9">
        <v>9</v>
      </c>
      <c r="G23" s="9">
        <v>12000</v>
      </c>
      <c r="H23" s="9">
        <v>108000</v>
      </c>
      <c r="I23" s="9" t="s">
        <v>42</v>
      </c>
      <c r="K23" s="9">
        <v>108000</v>
      </c>
      <c r="L23" s="9">
        <v>9</v>
      </c>
    </row>
    <row r="24" spans="1:12" ht="15" x14ac:dyDescent="0.2">
      <c r="A24" s="9" t="s">
        <v>56</v>
      </c>
      <c r="B24" s="10">
        <v>46119.428668981483</v>
      </c>
      <c r="C24" s="9" t="s">
        <v>8</v>
      </c>
      <c r="D24" s="9" t="s">
        <v>31</v>
      </c>
      <c r="E24" s="9" t="s">
        <v>32</v>
      </c>
      <c r="F24" s="9">
        <v>4</v>
      </c>
      <c r="G24" s="9">
        <v>75000</v>
      </c>
      <c r="H24" s="9">
        <v>300000</v>
      </c>
      <c r="I24" s="9" t="s">
        <v>42</v>
      </c>
      <c r="K24" s="9">
        <v>300000</v>
      </c>
      <c r="L24" s="9">
        <v>4</v>
      </c>
    </row>
    <row r="25" spans="1:12" ht="15" x14ac:dyDescent="0.2">
      <c r="A25" s="9" t="s">
        <v>56</v>
      </c>
      <c r="B25" s="10">
        <v>46130.428668981483</v>
      </c>
      <c r="C25" s="9" t="s">
        <v>7</v>
      </c>
      <c r="D25" s="9" t="s">
        <v>23</v>
      </c>
      <c r="E25" s="9" t="s">
        <v>32</v>
      </c>
      <c r="F25" s="9">
        <v>8</v>
      </c>
      <c r="G25" s="9">
        <v>75000</v>
      </c>
      <c r="H25" s="9">
        <v>600000</v>
      </c>
      <c r="I25" s="9" t="s">
        <v>38</v>
      </c>
      <c r="K25" s="9">
        <v>600000</v>
      </c>
      <c r="L25" s="9">
        <v>8</v>
      </c>
    </row>
    <row r="26" spans="1:12" ht="15" x14ac:dyDescent="0.2">
      <c r="A26" s="9" t="s">
        <v>57</v>
      </c>
      <c r="B26" s="10">
        <v>46126.428668981483</v>
      </c>
      <c r="C26" s="9" t="s">
        <v>7</v>
      </c>
      <c r="D26" s="9" t="s">
        <v>23</v>
      </c>
      <c r="E26" s="9" t="s">
        <v>40</v>
      </c>
      <c r="F26" s="9">
        <v>5</v>
      </c>
      <c r="G26" s="9">
        <v>8000</v>
      </c>
      <c r="H26" s="9">
        <v>40000</v>
      </c>
      <c r="I26" s="9" t="s">
        <v>29</v>
      </c>
      <c r="K26" s="9">
        <v>40000</v>
      </c>
      <c r="L26" s="9">
        <v>5</v>
      </c>
    </row>
    <row r="27" spans="1:12" ht="15" x14ac:dyDescent="0.2">
      <c r="A27" s="9" t="s">
        <v>58</v>
      </c>
      <c r="B27" s="10">
        <v>46142.428668981483</v>
      </c>
      <c r="C27" s="9" t="s">
        <v>5</v>
      </c>
      <c r="D27" s="9" t="s">
        <v>23</v>
      </c>
      <c r="E27" s="9" t="s">
        <v>37</v>
      </c>
      <c r="F27" s="9">
        <v>2</v>
      </c>
      <c r="G27" s="9">
        <v>12000</v>
      </c>
      <c r="H27" s="9">
        <v>24000</v>
      </c>
      <c r="I27" s="9" t="s">
        <v>46</v>
      </c>
      <c r="K27" s="9">
        <v>24000</v>
      </c>
      <c r="L27" s="9">
        <v>2</v>
      </c>
    </row>
    <row r="28" spans="1:12" ht="15" x14ac:dyDescent="0.2">
      <c r="A28" s="9" t="s">
        <v>59</v>
      </c>
      <c r="B28" s="10">
        <v>46113.428668981483</v>
      </c>
      <c r="C28" s="9" t="s">
        <v>8</v>
      </c>
      <c r="D28" s="9" t="s">
        <v>27</v>
      </c>
      <c r="E28" s="9" t="s">
        <v>32</v>
      </c>
      <c r="F28" s="9">
        <v>4</v>
      </c>
      <c r="G28" s="9">
        <v>12000</v>
      </c>
      <c r="H28" s="9">
        <v>48000</v>
      </c>
      <c r="I28" s="6"/>
      <c r="K28" s="9">
        <v>48000</v>
      </c>
      <c r="L28" s="9">
        <v>4</v>
      </c>
    </row>
    <row r="29" spans="1:12" ht="15" x14ac:dyDescent="0.2">
      <c r="A29" s="9" t="s">
        <v>60</v>
      </c>
      <c r="B29" s="10">
        <v>46106.428668981483</v>
      </c>
      <c r="C29" s="9" t="s">
        <v>8</v>
      </c>
      <c r="D29" s="9" t="s">
        <v>27</v>
      </c>
      <c r="E29" s="9" t="s">
        <v>32</v>
      </c>
      <c r="F29" s="9">
        <v>7</v>
      </c>
      <c r="G29" s="9">
        <v>60000</v>
      </c>
      <c r="H29" s="9">
        <v>420000</v>
      </c>
      <c r="I29" s="6"/>
      <c r="K29" s="9">
        <v>420000</v>
      </c>
      <c r="L29" s="9">
        <v>7</v>
      </c>
    </row>
    <row r="30" spans="1:12" ht="15" x14ac:dyDescent="0.2">
      <c r="A30" s="9" t="s">
        <v>61</v>
      </c>
      <c r="B30" s="10">
        <v>46142.428668981483</v>
      </c>
      <c r="C30" s="9" t="s">
        <v>5</v>
      </c>
      <c r="D30" s="9" t="s">
        <v>31</v>
      </c>
      <c r="E30" s="9" t="s">
        <v>24</v>
      </c>
      <c r="F30" s="9">
        <v>3</v>
      </c>
      <c r="G30" s="9">
        <v>8000</v>
      </c>
      <c r="H30" s="9">
        <v>24000</v>
      </c>
      <c r="I30" s="9" t="s">
        <v>38</v>
      </c>
      <c r="K30" s="9">
        <v>24000</v>
      </c>
      <c r="L30" s="9">
        <v>3</v>
      </c>
    </row>
    <row r="31" spans="1:12" ht="15" x14ac:dyDescent="0.2">
      <c r="A31" s="9" t="s">
        <v>62</v>
      </c>
      <c r="B31" s="10">
        <v>46107.428668981483</v>
      </c>
      <c r="C31" s="9" t="s">
        <v>5</v>
      </c>
      <c r="D31" s="9" t="s">
        <v>31</v>
      </c>
      <c r="E31" s="9" t="s">
        <v>40</v>
      </c>
      <c r="F31" s="9">
        <v>2</v>
      </c>
      <c r="G31" s="9">
        <v>25000</v>
      </c>
      <c r="H31" s="9">
        <v>50000</v>
      </c>
      <c r="I31" s="9" t="s">
        <v>42</v>
      </c>
      <c r="K31" s="9">
        <v>50000</v>
      </c>
      <c r="L31" s="9">
        <v>2</v>
      </c>
    </row>
    <row r="32" spans="1:12" ht="15" x14ac:dyDescent="0.2">
      <c r="A32" s="9" t="s">
        <v>63</v>
      </c>
      <c r="B32" s="10">
        <v>46141.428668981483</v>
      </c>
      <c r="C32" s="9" t="s">
        <v>8</v>
      </c>
      <c r="D32" s="9" t="s">
        <v>27</v>
      </c>
      <c r="E32" s="9" t="s">
        <v>40</v>
      </c>
      <c r="F32" s="9">
        <v>4</v>
      </c>
      <c r="G32" s="9">
        <v>12000</v>
      </c>
      <c r="H32" s="9">
        <v>48000</v>
      </c>
      <c r="I32" s="9" t="s">
        <v>46</v>
      </c>
      <c r="K32" s="9">
        <v>48000</v>
      </c>
      <c r="L32" s="9">
        <v>4</v>
      </c>
    </row>
    <row r="33" spans="1:12" ht="15" x14ac:dyDescent="0.2">
      <c r="A33" s="9" t="s">
        <v>63</v>
      </c>
      <c r="B33" s="10">
        <v>46129.428668981483</v>
      </c>
      <c r="C33" s="9" t="s">
        <v>8</v>
      </c>
      <c r="D33" s="9" t="s">
        <v>31</v>
      </c>
      <c r="E33" s="9" t="s">
        <v>40</v>
      </c>
      <c r="F33" s="9">
        <v>7</v>
      </c>
      <c r="G33" s="9">
        <v>75000</v>
      </c>
      <c r="H33" s="9">
        <v>525000</v>
      </c>
      <c r="I33" s="9" t="s">
        <v>46</v>
      </c>
      <c r="K33" s="9">
        <v>525000</v>
      </c>
      <c r="L33" s="9">
        <v>7</v>
      </c>
    </row>
    <row r="34" spans="1:12" ht="15" x14ac:dyDescent="0.2">
      <c r="A34" s="9" t="s">
        <v>64</v>
      </c>
      <c r="B34" s="10">
        <v>46117.428668981483</v>
      </c>
      <c r="C34" s="9" t="s">
        <v>8</v>
      </c>
      <c r="D34" s="9" t="s">
        <v>31</v>
      </c>
      <c r="E34" s="9" t="s">
        <v>40</v>
      </c>
      <c r="F34" s="9">
        <v>7</v>
      </c>
      <c r="G34" s="9">
        <v>60000</v>
      </c>
      <c r="H34" s="9">
        <v>420000</v>
      </c>
      <c r="I34" s="9" t="s">
        <v>46</v>
      </c>
      <c r="K34" s="9">
        <v>420000</v>
      </c>
      <c r="L34" s="9">
        <v>7</v>
      </c>
    </row>
    <row r="35" spans="1:12" ht="15" x14ac:dyDescent="0.2">
      <c r="A35" s="9" t="s">
        <v>65</v>
      </c>
      <c r="B35" s="10">
        <v>46099.428668981483</v>
      </c>
      <c r="C35" s="9" t="s">
        <v>10</v>
      </c>
      <c r="D35" s="9" t="s">
        <v>23</v>
      </c>
      <c r="E35" s="9" t="s">
        <v>40</v>
      </c>
      <c r="F35" s="9">
        <v>5</v>
      </c>
      <c r="G35" s="9">
        <v>60000</v>
      </c>
      <c r="H35" s="9">
        <v>300000</v>
      </c>
      <c r="I35" s="6"/>
      <c r="K35" s="9">
        <v>300000</v>
      </c>
      <c r="L35" s="9">
        <v>5</v>
      </c>
    </row>
    <row r="36" spans="1:12" ht="15" x14ac:dyDescent="0.2">
      <c r="A36" s="9" t="s">
        <v>66</v>
      </c>
      <c r="B36" s="10">
        <v>46110.428668981483</v>
      </c>
      <c r="C36" s="9" t="s">
        <v>5</v>
      </c>
      <c r="D36" s="9" t="s">
        <v>27</v>
      </c>
      <c r="E36" s="9" t="s">
        <v>28</v>
      </c>
      <c r="F36" s="9">
        <v>8</v>
      </c>
      <c r="G36" s="9">
        <v>75000</v>
      </c>
      <c r="H36" s="9">
        <v>600000</v>
      </c>
      <c r="I36" s="9" t="s">
        <v>38</v>
      </c>
      <c r="K36" s="9">
        <v>600000</v>
      </c>
      <c r="L36" s="9">
        <v>8</v>
      </c>
    </row>
    <row r="37" spans="1:12" ht="15" x14ac:dyDescent="0.2">
      <c r="A37" s="9" t="s">
        <v>67</v>
      </c>
      <c r="B37" s="10">
        <v>46125.428668981483</v>
      </c>
      <c r="C37" s="9" t="s">
        <v>8</v>
      </c>
      <c r="D37" s="9" t="s">
        <v>31</v>
      </c>
      <c r="E37" s="9" t="s">
        <v>37</v>
      </c>
      <c r="F37" s="9">
        <v>1</v>
      </c>
      <c r="G37" s="9">
        <v>75000</v>
      </c>
      <c r="H37" s="9">
        <v>75000</v>
      </c>
      <c r="I37" s="9" t="s">
        <v>29</v>
      </c>
      <c r="K37" s="9">
        <v>75000</v>
      </c>
      <c r="L37" s="9">
        <v>1</v>
      </c>
    </row>
    <row r="38" spans="1:12" ht="15" x14ac:dyDescent="0.2">
      <c r="A38" s="9" t="s">
        <v>68</v>
      </c>
      <c r="B38" s="10">
        <v>46110.428668981483</v>
      </c>
      <c r="C38" s="9" t="s">
        <v>5</v>
      </c>
      <c r="D38" s="9" t="s">
        <v>27</v>
      </c>
      <c r="E38" s="9" t="s">
        <v>32</v>
      </c>
      <c r="F38" s="9">
        <v>10</v>
      </c>
      <c r="G38" s="9">
        <v>8000</v>
      </c>
      <c r="H38" s="9">
        <v>80000</v>
      </c>
      <c r="I38" s="9" t="s">
        <v>38</v>
      </c>
      <c r="K38" s="9">
        <v>80000</v>
      </c>
      <c r="L38" s="9">
        <v>10</v>
      </c>
    </row>
    <row r="39" spans="1:12" ht="15" x14ac:dyDescent="0.2">
      <c r="A39" s="9" t="s">
        <v>69</v>
      </c>
      <c r="B39" s="10">
        <v>46122.428668981483</v>
      </c>
      <c r="C39" s="9" t="s">
        <v>7</v>
      </c>
      <c r="D39" s="9" t="s">
        <v>27</v>
      </c>
      <c r="E39" s="9" t="s">
        <v>37</v>
      </c>
      <c r="F39" s="9">
        <v>3</v>
      </c>
      <c r="G39" s="9">
        <v>75000</v>
      </c>
      <c r="H39" s="9">
        <v>225000</v>
      </c>
      <c r="I39" s="9" t="s">
        <v>46</v>
      </c>
      <c r="K39" s="9">
        <v>225000</v>
      </c>
      <c r="L39" s="9">
        <v>3</v>
      </c>
    </row>
    <row r="40" spans="1:12" ht="15" x14ac:dyDescent="0.2">
      <c r="A40" s="9" t="s">
        <v>70</v>
      </c>
      <c r="B40" s="10">
        <v>46105.428668981483</v>
      </c>
      <c r="C40" s="9" t="s">
        <v>7</v>
      </c>
      <c r="D40" s="9" t="s">
        <v>27</v>
      </c>
      <c r="E40" s="9" t="s">
        <v>32</v>
      </c>
      <c r="F40" s="9">
        <v>5</v>
      </c>
      <c r="G40" s="9">
        <v>75000</v>
      </c>
      <c r="H40" s="9">
        <v>375000</v>
      </c>
      <c r="I40" s="9" t="s">
        <v>29</v>
      </c>
      <c r="K40" s="9">
        <v>375000</v>
      </c>
      <c r="L40" s="9">
        <v>5</v>
      </c>
    </row>
    <row r="41" spans="1:12" ht="15" x14ac:dyDescent="0.2">
      <c r="A41" s="9" t="s">
        <v>70</v>
      </c>
      <c r="B41" s="10">
        <v>46097.428668981483</v>
      </c>
      <c r="C41" s="9" t="s">
        <v>8</v>
      </c>
      <c r="D41" s="9" t="s">
        <v>23</v>
      </c>
      <c r="E41" s="9" t="s">
        <v>24</v>
      </c>
      <c r="F41" s="9">
        <v>3</v>
      </c>
      <c r="G41" s="9">
        <v>8000</v>
      </c>
      <c r="H41" s="9">
        <v>24000</v>
      </c>
      <c r="I41" s="9" t="s">
        <v>46</v>
      </c>
      <c r="K41" s="9">
        <v>24000</v>
      </c>
      <c r="L41" s="9">
        <v>3</v>
      </c>
    </row>
    <row r="45" spans="1:12" ht="15.75" customHeight="1" x14ac:dyDescent="0.15">
      <c r="D45" s="31" t="s">
        <v>122</v>
      </c>
      <c r="E45">
        <f>AVERAGE(F2:F41)</f>
        <v>5.15</v>
      </c>
    </row>
  </sheetData>
  <conditionalFormatting sqref="H2:H41">
    <cfRule type="top10" dxfId="53" priority="11" rank="10"/>
    <cfRule type="cellIs" dxfId="52" priority="17" operator="greaterThan">
      <formula>50000</formula>
    </cfRule>
  </conditionalFormatting>
  <conditionalFormatting sqref="G2:G41">
    <cfRule type="cellIs" dxfId="51" priority="16" operator="lessThan">
      <formula>10000</formula>
    </cfRule>
  </conditionalFormatting>
  <conditionalFormatting sqref="F2:F41">
    <cfRule type="cellIs" dxfId="45" priority="15" operator="greaterThan">
      <formula>5.15</formula>
    </cfRule>
  </conditionalFormatting>
  <conditionalFormatting sqref="A2:A41">
    <cfRule type="duplicateValues" dxfId="50" priority="14"/>
  </conditionalFormatting>
  <conditionalFormatting sqref="I2:I41">
    <cfRule type="containsBlanks" dxfId="49" priority="13">
      <formula>LEN(TRIM(I2))=0</formula>
    </cfRule>
  </conditionalFormatting>
  <conditionalFormatting sqref="E2:E41">
    <cfRule type="containsText" dxfId="48" priority="12" operator="containsText" text="Laptop">
      <formula>NOT(ISERROR(SEARCH("Laptop",E2)))</formula>
    </cfRule>
  </conditionalFormatting>
  <conditionalFormatting sqref="D2:D41">
    <cfRule type="containsText" dxfId="47" priority="3" operator="containsText" text="Electronics">
      <formula>NOT(ISERROR(SEARCH("Electronics",D2)))</formula>
    </cfRule>
  </conditionalFormatting>
  <conditionalFormatting sqref="K1:K4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:L41">
    <cfRule type="cellIs" dxfId="46" priority="1" operator="between">
      <formula>5</formula>
      <formula>8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topLeftCell="A3" zoomScale="138" workbookViewId="0">
      <selection activeCell="E34" sqref="E34"/>
    </sheetView>
  </sheetViews>
  <sheetFormatPr baseColWidth="10" defaultColWidth="12.5" defaultRowHeight="15.75" customHeight="1" x14ac:dyDescent="0.15"/>
  <cols>
    <col min="3" max="3" width="24.83203125" customWidth="1"/>
    <col min="4" max="4" width="18.5" customWidth="1"/>
    <col min="5" max="5" width="28.5" customWidth="1"/>
  </cols>
  <sheetData>
    <row r="1" spans="1:7" ht="15.75" customHeight="1" x14ac:dyDescent="0.15">
      <c r="A1" s="11" t="s">
        <v>71</v>
      </c>
      <c r="B1" s="12" t="s">
        <v>72</v>
      </c>
      <c r="C1" s="13" t="s">
        <v>73</v>
      </c>
      <c r="D1" s="14" t="s">
        <v>74</v>
      </c>
      <c r="E1" s="14" t="s">
        <v>75</v>
      </c>
      <c r="F1" s="14" t="s">
        <v>76</v>
      </c>
      <c r="G1" s="14" t="s">
        <v>77</v>
      </c>
    </row>
    <row r="2" spans="1:7" ht="15" x14ac:dyDescent="0.2">
      <c r="A2" s="15">
        <v>1</v>
      </c>
      <c r="B2" s="16" t="s">
        <v>78</v>
      </c>
      <c r="C2" s="17" t="s">
        <v>79</v>
      </c>
      <c r="D2" s="18" t="s">
        <v>80</v>
      </c>
      <c r="E2" s="18">
        <v>34</v>
      </c>
      <c r="F2" s="18">
        <v>170</v>
      </c>
      <c r="G2" s="18">
        <v>80</v>
      </c>
    </row>
    <row r="3" spans="1:7" ht="15" x14ac:dyDescent="0.2">
      <c r="A3" s="15">
        <v>2</v>
      </c>
      <c r="B3" s="16" t="s">
        <v>81</v>
      </c>
      <c r="C3" s="17" t="s">
        <v>82</v>
      </c>
      <c r="D3" s="18" t="s">
        <v>80</v>
      </c>
      <c r="E3" s="18">
        <v>23</v>
      </c>
      <c r="F3" s="18">
        <v>171</v>
      </c>
      <c r="G3" s="18">
        <v>62</v>
      </c>
    </row>
    <row r="4" spans="1:7" ht="15" x14ac:dyDescent="0.2">
      <c r="A4" s="15">
        <v>3</v>
      </c>
      <c r="B4" s="16" t="s">
        <v>83</v>
      </c>
      <c r="C4" s="17" t="s">
        <v>84</v>
      </c>
      <c r="D4" s="18" t="s">
        <v>85</v>
      </c>
      <c r="E4" s="18">
        <v>25</v>
      </c>
      <c r="F4" s="18">
        <v>174</v>
      </c>
      <c r="G4" s="18">
        <v>74</v>
      </c>
    </row>
    <row r="5" spans="1:7" ht="15" x14ac:dyDescent="0.2">
      <c r="A5" s="15">
        <v>4</v>
      </c>
      <c r="B5" s="16" t="s">
        <v>86</v>
      </c>
      <c r="C5" s="17" t="s">
        <v>87</v>
      </c>
      <c r="D5" s="18" t="s">
        <v>85</v>
      </c>
      <c r="E5" s="18">
        <v>21</v>
      </c>
      <c r="F5" s="18">
        <v>173</v>
      </c>
      <c r="G5" s="18">
        <v>73</v>
      </c>
    </row>
    <row r="6" spans="1:7" ht="15" x14ac:dyDescent="0.2">
      <c r="A6" s="15">
        <v>5</v>
      </c>
      <c r="B6" s="16" t="s">
        <v>88</v>
      </c>
      <c r="C6" s="17" t="s">
        <v>89</v>
      </c>
      <c r="D6" s="18" t="s">
        <v>85</v>
      </c>
      <c r="E6" s="18">
        <v>20</v>
      </c>
      <c r="F6" s="18">
        <v>178</v>
      </c>
      <c r="G6" s="18">
        <v>78</v>
      </c>
    </row>
    <row r="7" spans="1:7" ht="15" x14ac:dyDescent="0.2">
      <c r="A7" s="15">
        <v>6</v>
      </c>
      <c r="B7" s="16" t="s">
        <v>90</v>
      </c>
      <c r="C7" s="17" t="s">
        <v>91</v>
      </c>
      <c r="D7" s="18" t="s">
        <v>80</v>
      </c>
      <c r="E7" s="19"/>
      <c r="F7" s="18">
        <v>170</v>
      </c>
      <c r="G7" s="18">
        <v>78</v>
      </c>
    </row>
    <row r="8" spans="1:7" ht="15" x14ac:dyDescent="0.2">
      <c r="A8" s="15">
        <v>7</v>
      </c>
      <c r="B8" s="16" t="s">
        <v>92</v>
      </c>
      <c r="C8" s="17" t="s">
        <v>93</v>
      </c>
      <c r="D8" s="18" t="s">
        <v>85</v>
      </c>
      <c r="E8" s="19"/>
      <c r="F8" s="18">
        <v>171</v>
      </c>
      <c r="G8" s="18">
        <v>71</v>
      </c>
    </row>
    <row r="9" spans="1:7" ht="15" x14ac:dyDescent="0.2">
      <c r="A9" s="15">
        <v>8</v>
      </c>
      <c r="B9" s="16" t="s">
        <v>94</v>
      </c>
      <c r="C9" s="17" t="s">
        <v>95</v>
      </c>
      <c r="D9" s="18" t="s">
        <v>85</v>
      </c>
      <c r="E9" s="18">
        <v>22</v>
      </c>
      <c r="F9" s="18">
        <v>174</v>
      </c>
      <c r="G9" s="18">
        <v>73</v>
      </c>
    </row>
    <row r="10" spans="1:7" ht="15" x14ac:dyDescent="0.2">
      <c r="A10" s="15">
        <v>9</v>
      </c>
      <c r="B10" s="16" t="s">
        <v>96</v>
      </c>
      <c r="C10" s="17" t="s">
        <v>97</v>
      </c>
      <c r="D10" s="18" t="s">
        <v>80</v>
      </c>
      <c r="E10" s="18">
        <v>10</v>
      </c>
      <c r="F10" s="18">
        <v>173</v>
      </c>
      <c r="G10" s="18">
        <v>74</v>
      </c>
    </row>
    <row r="11" spans="1:7" ht="15" x14ac:dyDescent="0.2">
      <c r="A11" s="20">
        <v>10</v>
      </c>
      <c r="B11" s="21" t="s">
        <v>98</v>
      </c>
      <c r="C11" s="22" t="s">
        <v>99</v>
      </c>
      <c r="D11" s="18" t="s">
        <v>85</v>
      </c>
      <c r="E11" s="18">
        <v>27</v>
      </c>
      <c r="F11" s="18">
        <v>178</v>
      </c>
      <c r="G11" s="18">
        <v>75</v>
      </c>
    </row>
    <row r="13" spans="1:7" ht="15.75" customHeight="1" x14ac:dyDescent="0.15">
      <c r="D13" s="23" t="s">
        <v>121</v>
      </c>
      <c r="E13">
        <f>SUM(E2:E11)</f>
        <v>182</v>
      </c>
      <c r="F13">
        <f>SUM(F6:F11)</f>
        <v>1044</v>
      </c>
      <c r="G13" s="25">
        <v>34</v>
      </c>
    </row>
    <row r="14" spans="1:7" ht="15.75" customHeight="1" x14ac:dyDescent="0.15">
      <c r="D14" s="23" t="s">
        <v>100</v>
      </c>
      <c r="E14">
        <f>SUMIF(E2:E11,"&gt;20")</f>
        <v>152</v>
      </c>
    </row>
    <row r="15" spans="1:7" ht="15.75" customHeight="1" x14ac:dyDescent="0.15">
      <c r="D15" s="23" t="s">
        <v>101</v>
      </c>
      <c r="E15">
        <f>MIN(E2:F11)</f>
        <v>10</v>
      </c>
    </row>
    <row r="16" spans="1:7" ht="15.75" customHeight="1" x14ac:dyDescent="0.15">
      <c r="D16" s="23" t="s">
        <v>102</v>
      </c>
      <c r="E16">
        <f>MAX(E2:E11)</f>
        <v>34</v>
      </c>
    </row>
    <row r="17" spans="4:7" ht="15.75" customHeight="1" x14ac:dyDescent="0.15">
      <c r="D17" s="23" t="s">
        <v>103</v>
      </c>
      <c r="E17">
        <f>AVERAGE(E2:E11)</f>
        <v>22.75</v>
      </c>
    </row>
    <row r="18" spans="4:7" ht="15.75" customHeight="1" x14ac:dyDescent="0.15">
      <c r="D18" s="23" t="s">
        <v>104</v>
      </c>
      <c r="E18">
        <f>COUNT(E2:E11)</f>
        <v>8</v>
      </c>
    </row>
    <row r="19" spans="4:7" ht="15.75" customHeight="1" x14ac:dyDescent="0.15">
      <c r="D19" s="23" t="s">
        <v>105</v>
      </c>
      <c r="E19">
        <f>COUNTBLANK(E2:E11)</f>
        <v>2</v>
      </c>
    </row>
    <row r="20" spans="4:7" ht="15.75" customHeight="1" x14ac:dyDescent="0.15">
      <c r="D20" s="23" t="s">
        <v>106</v>
      </c>
      <c r="E20">
        <f>POWER(G13,2)</f>
        <v>1156</v>
      </c>
    </row>
    <row r="21" spans="4:7" ht="15.75" customHeight="1" x14ac:dyDescent="0.15">
      <c r="D21" s="23" t="s">
        <v>107</v>
      </c>
      <c r="E21" s="26" t="str">
        <f>CONCATENATE(B11,C11)</f>
        <v>AF0415249Gaurav Yadav</v>
      </c>
      <c r="G21" t="str">
        <f>TRIM(G13)</f>
        <v>34</v>
      </c>
    </row>
    <row r="22" spans="4:7" ht="15.75" customHeight="1" x14ac:dyDescent="0.15">
      <c r="D22" s="23" t="s">
        <v>108</v>
      </c>
      <c r="E22" t="str">
        <f>TRIM(C11)</f>
        <v>Gaurav Yadav</v>
      </c>
    </row>
    <row r="23" spans="4:7" ht="15.75" customHeight="1" x14ac:dyDescent="0.15">
      <c r="D23" s="23" t="s">
        <v>109</v>
      </c>
      <c r="E23" t="str">
        <f>REPLACE(C11,1,6, "Arnav")</f>
        <v>Arnav Yadav</v>
      </c>
    </row>
    <row r="24" spans="4:7" ht="15.75" customHeight="1" x14ac:dyDescent="0.15">
      <c r="D24" s="23" t="s">
        <v>110</v>
      </c>
      <c r="E24" t="str">
        <f>LEFT(C10,4)</f>
        <v>Sona</v>
      </c>
    </row>
    <row r="25" spans="4:7" ht="15.75" customHeight="1" x14ac:dyDescent="0.15">
      <c r="D25" s="23" t="s">
        <v>111</v>
      </c>
      <c r="E25" t="str">
        <f>MID(C10,8,9)</f>
        <v>Raghunath</v>
      </c>
    </row>
    <row r="26" spans="4:7" ht="15.75" customHeight="1" x14ac:dyDescent="0.15">
      <c r="D26" s="23" t="s">
        <v>112</v>
      </c>
      <c r="E26" t="str">
        <f>RIGHT(C10,5)</f>
        <v>Thule</v>
      </c>
    </row>
    <row r="27" spans="4:7" ht="15.75" customHeight="1" x14ac:dyDescent="0.15">
      <c r="D27" s="23" t="s">
        <v>113</v>
      </c>
      <c r="E27" t="str">
        <f>UPPER(C10)</f>
        <v>SONALI RAGHUNATH THULE</v>
      </c>
    </row>
    <row r="28" spans="4:7" ht="15.75" customHeight="1" x14ac:dyDescent="0.15">
      <c r="D28" s="23" t="s">
        <v>114</v>
      </c>
      <c r="E28" t="str">
        <f>LOWER(C8)</f>
        <v>tejas shivaji belote</v>
      </c>
    </row>
    <row r="29" spans="4:7" ht="15.75" customHeight="1" x14ac:dyDescent="0.15">
      <c r="D29" s="23" t="s">
        <v>115</v>
      </c>
      <c r="E29" s="27">
        <f ca="1">NOW()</f>
        <v>46157.906528356485</v>
      </c>
    </row>
    <row r="30" spans="4:7" ht="15.75" customHeight="1" x14ac:dyDescent="0.15">
      <c r="D30" s="23" t="s">
        <v>116</v>
      </c>
      <c r="E30">
        <f ca="1">SECOND(NOW())</f>
        <v>24</v>
      </c>
    </row>
    <row r="31" spans="4:7" ht="15.75" customHeight="1" x14ac:dyDescent="0.15">
      <c r="D31" s="23" t="s">
        <v>117</v>
      </c>
      <c r="E31">
        <f ca="1">DAY(TODAY())</f>
        <v>15</v>
      </c>
    </row>
    <row r="32" spans="4:7" ht="15.75" customHeight="1" x14ac:dyDescent="0.15">
      <c r="D32" s="23" t="s">
        <v>118</v>
      </c>
      <c r="E32">
        <f ca="1">MONTH(TODAY())</f>
        <v>5</v>
      </c>
    </row>
    <row r="33" spans="4:5" ht="15.75" customHeight="1" x14ac:dyDescent="0.15">
      <c r="D33" s="23" t="s">
        <v>119</v>
      </c>
      <c r="E33">
        <f ca="1">YEAR(TODAY())</f>
        <v>2026</v>
      </c>
    </row>
    <row r="34" spans="4:5" ht="15.75" customHeight="1" x14ac:dyDescent="0.15">
      <c r="D34" s="23" t="s">
        <v>120</v>
      </c>
      <c r="E34" t="str">
        <f>IF(E10&gt;18,"Eligible","not eligible")</f>
        <v>not eligible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RowFormatting</vt:lpstr>
      <vt:lpstr>CellColumnFormatting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Microsoft Office User</cp:lastModifiedBy>
  <dcterms:created xsi:type="dcterms:W3CDTF">2026-05-14T08:07:49Z</dcterms:created>
  <dcterms:modified xsi:type="dcterms:W3CDTF">2026-05-15T16:15:44Z</dcterms:modified>
</cp:coreProperties>
</file>